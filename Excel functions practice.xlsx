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7985618a6a93668/Desktop/"/>
    </mc:Choice>
  </mc:AlternateContent>
  <xr:revisionPtr revIDLastSave="210" documentId="11_F25DC773A252ABDACC1048B081587D085BDE58E9" xr6:coauthVersionLast="47" xr6:coauthVersionMax="47" xr10:uidLastSave="{86F46342-42B9-454F-A866-AE00F6EA71A9}"/>
  <bookViews>
    <workbookView xWindow="-108" yWindow="-108" windowWidth="23256" windowHeight="12456" tabRatio="863" activeTab="5" xr2:uid="{00000000-000D-0000-FFFF-FFFF00000000}"/>
  </bookViews>
  <sheets>
    <sheet name="Using excel data cleaning" sheetId="2" r:id="rId1"/>
    <sheet name="Steps" sheetId="1" r:id="rId2"/>
    <sheet name="chatgpt-practice XLfunctions" sheetId="3" r:id="rId3"/>
    <sheet name="Average and ifs" sheetId="5" r:id="rId4"/>
    <sheet name="count, counta, countblank" sheetId="4" r:id="rId5"/>
    <sheet name="text functions" sheetId="6" r:id="rId6"/>
  </sheets>
  <definedNames>
    <definedName name="ExternalData_1" localSheetId="0" hidden="1">'Using excel data cleaning'!$A$1:$E$15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0" i="6" l="1"/>
  <c r="R16" i="6"/>
  <c r="R12" i="6"/>
  <c r="R8" i="6"/>
  <c r="H3" i="6"/>
  <c r="H4" i="6"/>
  <c r="H5" i="6"/>
  <c r="H6" i="6"/>
  <c r="H7" i="6"/>
  <c r="H8" i="6"/>
  <c r="H9" i="6"/>
  <c r="H2" i="6"/>
  <c r="G3" i="6"/>
  <c r="G4" i="6"/>
  <c r="G5" i="6"/>
  <c r="G6" i="6"/>
  <c r="G7" i="6"/>
  <c r="G8" i="6"/>
  <c r="G9" i="6"/>
  <c r="G2" i="6"/>
  <c r="J14" i="6"/>
  <c r="J17" i="6"/>
  <c r="F3" i="6"/>
  <c r="F4" i="6"/>
  <c r="F5" i="6"/>
  <c r="F6" i="6"/>
  <c r="F7" i="6"/>
  <c r="F8" i="6"/>
  <c r="F9" i="6"/>
  <c r="E3" i="6"/>
  <c r="E4" i="6"/>
  <c r="E5" i="6"/>
  <c r="E6" i="6"/>
  <c r="E7" i="6"/>
  <c r="E8" i="6"/>
  <c r="E9" i="6"/>
  <c r="F2" i="6"/>
  <c r="J28" i="6" s="1"/>
  <c r="E2" i="6"/>
  <c r="J4" i="6"/>
  <c r="J8" i="6"/>
  <c r="D3" i="6"/>
  <c r="D4" i="6"/>
  <c r="D5" i="6"/>
  <c r="D6" i="6"/>
  <c r="D7" i="6"/>
  <c r="D8" i="6"/>
  <c r="D9" i="6"/>
  <c r="D2" i="6"/>
  <c r="C3" i="6"/>
  <c r="C4" i="6"/>
  <c r="C5" i="6"/>
  <c r="C6" i="6"/>
  <c r="C7" i="6"/>
  <c r="C8" i="6"/>
  <c r="C9" i="6"/>
  <c r="C2" i="6"/>
  <c r="K15" i="5"/>
  <c r="K12" i="5"/>
  <c r="K10" i="5"/>
  <c r="K8" i="5"/>
  <c r="K6" i="5"/>
  <c r="K4" i="5"/>
  <c r="Q20" i="4"/>
  <c r="Q19" i="4"/>
  <c r="Q17" i="4"/>
  <c r="Q15" i="4"/>
  <c r="Q8" i="4"/>
  <c r="Q5" i="4"/>
  <c r="I23" i="4"/>
  <c r="I22" i="4"/>
  <c r="I19" i="4"/>
  <c r="I16" i="4"/>
  <c r="I11" i="4"/>
  <c r="I8" i="4"/>
  <c r="I5" i="4"/>
  <c r="I33" i="3"/>
  <c r="I31" i="3"/>
  <c r="I29" i="3"/>
  <c r="I27" i="3"/>
  <c r="I25" i="3"/>
  <c r="I21" i="3"/>
  <c r="I19" i="3"/>
  <c r="I17" i="3"/>
  <c r="I15" i="3"/>
  <c r="I13" i="3"/>
  <c r="I8" i="3"/>
  <c r="I6" i="3"/>
  <c r="I4" i="3"/>
  <c r="J20" i="6" l="1"/>
  <c r="A20" i="6"/>
  <c r="A1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9C9A27-1EAF-4B4F-B6F9-4519EB261DF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<sst xmlns="http://schemas.openxmlformats.org/spreadsheetml/2006/main" count="401" uniqueCount="166">
  <si>
    <t>Date</t>
  </si>
  <si>
    <t>Customer</t>
  </si>
  <si>
    <t>Product</t>
  </si>
  <si>
    <t>Sold By</t>
  </si>
  <si>
    <t>Value</t>
  </si>
  <si>
    <t>MegaMart</t>
  </si>
  <si>
    <t>Farmhouse Bloomer</t>
  </si>
  <si>
    <t>Sally</t>
  </si>
  <si>
    <t>Bay Store</t>
  </si>
  <si>
    <t>Gluten</t>
  </si>
  <si>
    <t>Michelle</t>
  </si>
  <si>
    <t>Gardenia  Store</t>
  </si>
  <si>
    <t>Tiger</t>
  </si>
  <si>
    <t>David</t>
  </si>
  <si>
    <t>D&amp;T</t>
  </si>
  <si>
    <t>White Sliced</t>
  </si>
  <si>
    <t>Michael</t>
  </si>
  <si>
    <t>Garelick Farms</t>
  </si>
  <si>
    <t>Laura</t>
  </si>
  <si>
    <t>Sana</t>
  </si>
  <si>
    <t>Lisa</t>
  </si>
  <si>
    <t>Wall's sausages</t>
  </si>
  <si>
    <t>Mary</t>
  </si>
  <si>
    <t>Cheese</t>
  </si>
  <si>
    <t>George</t>
  </si>
  <si>
    <t>M&amp;T's</t>
  </si>
  <si>
    <t>Mike</t>
  </si>
  <si>
    <t>Caspera Store</t>
  </si>
  <si>
    <t>Nick</t>
  </si>
  <si>
    <t>Wine</t>
  </si>
  <si>
    <t>Dick</t>
  </si>
  <si>
    <t>Butterball</t>
  </si>
  <si>
    <t>Stefen</t>
  </si>
  <si>
    <t>Maria</t>
  </si>
  <si>
    <t>DataMart</t>
  </si>
  <si>
    <t>removed empty rows</t>
  </si>
  <si>
    <t>removed null value row</t>
  </si>
  <si>
    <t>replaced Megamart with DataMart</t>
  </si>
  <si>
    <t>removed duplicate rows</t>
  </si>
  <si>
    <t>data-getdata-Load</t>
  </si>
  <si>
    <t>Region</t>
  </si>
  <si>
    <t>Salesperson</t>
  </si>
  <si>
    <t>Units Sold</t>
  </si>
  <si>
    <t>Total Sales</t>
  </si>
  <si>
    <t>Month</t>
  </si>
  <si>
    <t>Remarks</t>
  </si>
  <si>
    <t>North</t>
  </si>
  <si>
    <t>Amit</t>
  </si>
  <si>
    <t>Laptop</t>
  </si>
  <si>
    <t>Jan</t>
  </si>
  <si>
    <t>Good</t>
  </si>
  <si>
    <t>South</t>
  </si>
  <si>
    <t>Neha</t>
  </si>
  <si>
    <t>Mouse</t>
  </si>
  <si>
    <t>East</t>
  </si>
  <si>
    <t>Riya</t>
  </si>
  <si>
    <t>Keyboard</t>
  </si>
  <si>
    <t>Feb</t>
  </si>
  <si>
    <t>Excellent</t>
  </si>
  <si>
    <t>West</t>
  </si>
  <si>
    <t>Raj</t>
  </si>
  <si>
    <t>Mar</t>
  </si>
  <si>
    <t>Amir</t>
  </si>
  <si>
    <t>Monitor</t>
  </si>
  <si>
    <t>Nisha</t>
  </si>
  <si>
    <t>Average</t>
  </si>
  <si>
    <t>Ravi</t>
  </si>
  <si>
    <t>Ritu</t>
  </si>
  <si>
    <t>1. COUNT / COUNTA / COUNTBLANK</t>
  </si>
  <si>
    <r>
      <t xml:space="preserve">1. How many rows have a number in the “Units Sold” column? → </t>
    </r>
    <r>
      <rPr>
        <sz val="10"/>
        <color theme="1"/>
        <rFont val="Arial Unicode MS"/>
      </rPr>
      <t>=COUNT(D2:D17)</t>
    </r>
  </si>
  <si>
    <r>
      <t xml:space="preserve">2. How many cells are </t>
    </r>
    <r>
      <rPr>
        <i/>
        <sz val="11"/>
        <color theme="1"/>
        <rFont val="Calibri"/>
        <family val="2"/>
        <scheme val="minor"/>
      </rPr>
      <t>not empty</t>
    </r>
    <r>
      <rPr>
        <sz val="11"/>
        <color theme="1"/>
        <rFont val="Calibri"/>
        <family val="2"/>
        <scheme val="minor"/>
      </rPr>
      <t xml:space="preserve"> in the “Remarks” column? → </t>
    </r>
    <r>
      <rPr>
        <sz val="10"/>
        <color theme="1"/>
        <rFont val="Arial Unicode MS"/>
      </rPr>
      <t>=COUNTA(G2:G17)</t>
    </r>
  </si>
  <si>
    <r>
      <t xml:space="preserve">3. How many blanks are there in the “Remarks” column? → </t>
    </r>
    <r>
      <rPr>
        <sz val="10"/>
        <color theme="1"/>
        <rFont val="Arial Unicode MS"/>
      </rPr>
      <t>=COUNTBLANK(G2:G17)</t>
    </r>
  </si>
  <si>
    <t>count only numeric</t>
  </si>
  <si>
    <t>count only which are not empty</t>
  </si>
  <si>
    <t>counts which are empty</t>
  </si>
  <si>
    <t>2. SUM / SUMIF / SUMIFS</t>
  </si>
  <si>
    <r>
      <t xml:space="preserve">1. Total sales across all regions → </t>
    </r>
    <r>
      <rPr>
        <sz val="10"/>
        <color theme="1"/>
        <rFont val="Arial Unicode MS"/>
      </rPr>
      <t>=SUM(E2:E17)</t>
    </r>
  </si>
  <si>
    <r>
      <t xml:space="preserve">2. Total sales in the </t>
    </r>
    <r>
      <rPr>
        <b/>
        <sz val="11"/>
        <color theme="1"/>
        <rFont val="Calibri"/>
        <family val="2"/>
        <scheme val="minor"/>
      </rPr>
      <t>North</t>
    </r>
    <r>
      <rPr>
        <sz val="11"/>
        <color theme="1"/>
        <rFont val="Calibri"/>
        <family val="2"/>
        <scheme val="minor"/>
      </rPr>
      <t xml:space="preserve"> region → </t>
    </r>
    <r>
      <rPr>
        <sz val="10"/>
        <color theme="1"/>
        <rFont val="Arial Unicode MS"/>
      </rPr>
      <t>=SUMIF(A2:A17,"North",E2:E17)</t>
    </r>
  </si>
  <si>
    <r>
      <t xml:space="preserve">3. Total sales for </t>
    </r>
    <r>
      <rPr>
        <b/>
        <sz val="11"/>
        <color theme="1"/>
        <rFont val="Calibri"/>
        <family val="2"/>
        <scheme val="minor"/>
      </rPr>
      <t>Laptop</t>
    </r>
    <r>
      <rPr>
        <sz val="11"/>
        <color theme="1"/>
        <rFont val="Calibri"/>
        <family val="2"/>
        <scheme val="minor"/>
      </rPr>
      <t xml:space="preserve"> only → </t>
    </r>
    <r>
      <rPr>
        <sz val="10"/>
        <color theme="1"/>
        <rFont val="Arial Unicode MS"/>
      </rPr>
      <t>=SUMIF(C2:C17,"Laptop",E2:E17)</t>
    </r>
  </si>
  <si>
    <r>
      <t xml:space="preserve">4. Total sales for </t>
    </r>
    <r>
      <rPr>
        <b/>
        <sz val="11"/>
        <color theme="1"/>
        <rFont val="Calibri"/>
        <family val="2"/>
        <scheme val="minor"/>
      </rPr>
      <t>Laptop in the North region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=SUMIFS(E2:E17,A2:A17,"North",C2:C17,"Laptop")</t>
    </r>
  </si>
  <si>
    <r>
      <t xml:space="preserve">5. Total sales in </t>
    </r>
    <r>
      <rPr>
        <b/>
        <sz val="11"/>
        <color theme="1"/>
        <rFont val="Calibri"/>
        <family val="2"/>
        <scheme val="minor"/>
      </rPr>
      <t>Jan month for Laptop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=SUMIFS(E2:E17,F2:F17,"Jan",C2:C17,"Laptop")</t>
    </r>
  </si>
  <si>
    <r>
      <t xml:space="preserve">1. Count how many rows are from </t>
    </r>
    <r>
      <rPr>
        <b/>
        <sz val="11"/>
        <color theme="1"/>
        <rFont val="Calibri"/>
        <family val="2"/>
        <scheme val="minor"/>
      </rPr>
      <t>East region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=COUNTIF(A2:A17,"East")</t>
    </r>
  </si>
  <si>
    <r>
      <t xml:space="preserve">2. Count how many products are </t>
    </r>
    <r>
      <rPr>
        <b/>
        <sz val="11"/>
        <color theme="1"/>
        <rFont val="Calibri"/>
        <family val="2"/>
        <scheme val="minor"/>
      </rPr>
      <t>Laptop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=COUNTIF(C2:C17,"Laptop")</t>
    </r>
  </si>
  <si>
    <r>
      <t xml:space="preserve">3. Count how many rows are </t>
    </r>
    <r>
      <rPr>
        <b/>
        <sz val="11"/>
        <color theme="1"/>
        <rFont val="Calibri"/>
        <family val="2"/>
        <scheme val="minor"/>
      </rPr>
      <t>Laptop in March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=COUNTIFS(C2:C17,"Laptop",F2:F17,"Mar")</t>
    </r>
  </si>
  <si>
    <r>
      <t xml:space="preserve">4. Count how many rows have </t>
    </r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 in Remarks → </t>
    </r>
    <r>
      <rPr>
        <sz val="10"/>
        <color theme="1"/>
        <rFont val="Arial Unicode MS"/>
      </rPr>
      <t>=COUNTIF(G2:G17,"Excellent")</t>
    </r>
  </si>
  <si>
    <r>
      <t xml:space="preserve">5. Count how many rows are </t>
    </r>
    <r>
      <rPr>
        <b/>
        <sz val="11"/>
        <color theme="1"/>
        <rFont val="Calibri"/>
        <family val="2"/>
        <scheme val="minor"/>
      </rPr>
      <t>from South region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Laptop product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=COUNTIFS(A2:A17,"South",C2:C17,"Laptop")</t>
    </r>
  </si>
  <si>
    <t>3. COUNTIF / COUNTIFS</t>
  </si>
  <si>
    <r>
      <t xml:space="preserve">A — COUNT (counts </t>
    </r>
    <r>
      <rPr>
        <b/>
        <i/>
        <sz val="13.5"/>
        <color theme="1"/>
        <rFont val="Calibri"/>
        <family val="2"/>
        <scheme val="minor"/>
      </rPr>
      <t>numbers</t>
    </r>
    <r>
      <rPr>
        <b/>
        <sz val="13.5"/>
        <color theme="1"/>
        <rFont val="Calibri"/>
        <family val="2"/>
        <scheme val="minor"/>
      </rPr>
      <t xml:space="preserve"> only)</t>
    </r>
  </si>
  <si>
    <r>
      <t xml:space="preserve">1. How many rows have a number in </t>
    </r>
    <r>
      <rPr>
        <b/>
        <sz val="11"/>
        <color theme="1"/>
        <rFont val="Calibri"/>
        <family val="2"/>
        <scheme val="minor"/>
      </rPr>
      <t>Units Sold</t>
    </r>
    <r>
      <rPr>
        <sz val="11"/>
        <color theme="1"/>
        <rFont val="Calibri"/>
        <family val="2"/>
        <scheme val="minor"/>
      </rPr>
      <t>?</t>
    </r>
  </si>
  <si>
    <r>
      <t>=COUNT(D2:D17)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Result: 16</t>
    </r>
  </si>
  <si>
    <r>
      <t xml:space="preserve">2. How many numeric entries in </t>
    </r>
    <r>
      <rPr>
        <b/>
        <sz val="11"/>
        <color theme="1"/>
        <rFont val="Calibri"/>
        <family val="2"/>
        <scheme val="minor"/>
      </rPr>
      <t>Total Sales</t>
    </r>
    <r>
      <rPr>
        <sz val="11"/>
        <color theme="1"/>
        <rFont val="Calibri"/>
        <family val="2"/>
        <scheme val="minor"/>
      </rPr>
      <t>?</t>
    </r>
  </si>
  <si>
    <r>
      <t>=COUNT(E2:E17)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Result: 16</t>
    </r>
  </si>
  <si>
    <r>
      <t xml:space="preserve">3. What happens if you try </t>
    </r>
    <r>
      <rPr>
        <sz val="10"/>
        <color theme="1"/>
        <rFont val="Arial Unicode MS"/>
      </rPr>
      <t>=COUNT(A2:A17)</t>
    </r>
    <r>
      <rPr>
        <sz val="11"/>
        <color theme="1"/>
        <rFont val="Calibri"/>
        <family val="2"/>
        <scheme val="minor"/>
      </rPr>
      <t>?</t>
    </r>
  </si>
  <si>
    <r>
      <t xml:space="preserve">→ </t>
    </r>
    <r>
      <rPr>
        <b/>
        <sz val="11"/>
        <color theme="1"/>
        <rFont val="Calibri"/>
        <family val="2"/>
        <scheme val="minor"/>
      </rPr>
      <t>Result: 0</t>
    </r>
    <r>
      <rPr>
        <sz val="11"/>
        <color theme="1"/>
        <rFont val="Calibri"/>
        <family val="2"/>
        <scheme val="minor"/>
      </rPr>
      <t xml:space="preserve"> (because Region is text — COUNT ignores text)</t>
    </r>
  </si>
  <si>
    <r>
      <t xml:space="preserve">B — COUNTA (counts </t>
    </r>
    <r>
      <rPr>
        <b/>
        <i/>
        <sz val="13.5"/>
        <color theme="1"/>
        <rFont val="Calibri"/>
        <family val="2"/>
        <scheme val="minor"/>
      </rPr>
      <t>non-empty</t>
    </r>
    <r>
      <rPr>
        <b/>
        <sz val="13.5"/>
        <color theme="1"/>
        <rFont val="Calibri"/>
        <family val="2"/>
        <scheme val="minor"/>
      </rPr>
      <t xml:space="preserve"> cells — text, numbers, anything)</t>
    </r>
  </si>
  <si>
    <r>
      <t xml:space="preserve">1. How many non-empty cells in </t>
    </r>
    <r>
      <rPr>
        <b/>
        <sz val="11"/>
        <color theme="1"/>
        <rFont val="Calibri"/>
        <family val="2"/>
        <scheme val="minor"/>
      </rPr>
      <t>Remarks</t>
    </r>
    <r>
      <rPr>
        <sz val="11"/>
        <color theme="1"/>
        <rFont val="Calibri"/>
        <family val="2"/>
        <scheme val="minor"/>
      </rPr>
      <t>?</t>
    </r>
  </si>
  <si>
    <r>
      <t>=COUNTA(G2:G17)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Result: 10</t>
    </r>
  </si>
  <si>
    <r>
      <t xml:space="preserve">2. How many non-empty cells in </t>
    </r>
    <r>
      <rPr>
        <b/>
        <sz val="11"/>
        <color theme="1"/>
        <rFont val="Calibri"/>
        <family val="2"/>
        <scheme val="minor"/>
      </rPr>
      <t>Salesperson</t>
    </r>
    <r>
      <rPr>
        <sz val="11"/>
        <color theme="1"/>
        <rFont val="Calibri"/>
        <family val="2"/>
        <scheme val="minor"/>
      </rPr>
      <t>?</t>
    </r>
  </si>
  <si>
    <r>
      <t>=COUNTA(B2:B17)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Result: 16</t>
    </r>
  </si>
  <si>
    <r>
      <t xml:space="preserve">3. How many non-empty cells in the whole row range </t>
    </r>
    <r>
      <rPr>
        <sz val="10"/>
        <color theme="1"/>
        <rFont val="Arial Unicode MS"/>
      </rPr>
      <t>A2:G2</t>
    </r>
    <r>
      <rPr>
        <sz val="11"/>
        <color theme="1"/>
        <rFont val="Calibri"/>
        <family val="2"/>
        <scheme val="minor"/>
      </rPr>
      <t xml:space="preserve"> (first data row)?</t>
    </r>
  </si>
  <si>
    <r>
      <t>=COUNTA(A2:G2)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Result: 7</t>
    </r>
    <r>
      <rPr>
        <sz val="11"/>
        <color theme="1"/>
        <rFont val="Calibri"/>
        <family val="2"/>
        <scheme val="minor"/>
      </rPr>
      <t xml:space="preserve"> (all columns filled in that row)</t>
    </r>
  </si>
  <si>
    <t>row2</t>
  </si>
  <si>
    <t>C — COUNTBLANK (counts empty cells)</t>
  </si>
  <si>
    <r>
      <t xml:space="preserve">1. How many blank cells in </t>
    </r>
    <r>
      <rPr>
        <b/>
        <sz val="11"/>
        <color theme="1"/>
        <rFont val="Calibri"/>
        <family val="2"/>
        <scheme val="minor"/>
      </rPr>
      <t>Remarks</t>
    </r>
    <r>
      <rPr>
        <sz val="11"/>
        <color theme="1"/>
        <rFont val="Calibri"/>
        <family val="2"/>
        <scheme val="minor"/>
      </rPr>
      <t>?</t>
    </r>
  </si>
  <si>
    <r>
      <t>=COUNTBLANK(G2:G17)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Result: 6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(because 16 total rows − 10 non-empty = 6 blank)</t>
    </r>
  </si>
  <si>
    <r>
      <t xml:space="preserve">2. How many blank cells in </t>
    </r>
    <r>
      <rPr>
        <b/>
        <sz val="11"/>
        <color theme="1"/>
        <rFont val="Calibri"/>
        <family val="2"/>
        <scheme val="minor"/>
      </rPr>
      <t>Month</t>
    </r>
    <r>
      <rPr>
        <sz val="11"/>
        <color theme="1"/>
        <rFont val="Calibri"/>
        <family val="2"/>
        <scheme val="minor"/>
      </rPr>
      <t>?</t>
    </r>
  </si>
  <si>
    <r>
      <t>=COUNTBLANK(F2:F17)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Result: 0</t>
    </r>
    <r>
      <rPr>
        <sz val="11"/>
        <color theme="1"/>
        <rFont val="Calibri"/>
        <family val="2"/>
        <scheme val="minor"/>
      </rPr>
      <t xml:space="preserve"> (every row has a Month)</t>
    </r>
  </si>
  <si>
    <t>D — Quick mixed practice (to build intuition)</t>
  </si>
  <si>
    <r>
      <t>1. =COUNTA(A2:A17)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(all Regions filled)</t>
    </r>
  </si>
  <si>
    <r>
      <t>2. =COUNTIF(G2:G17,"Excellent")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(you said you finished COUNTIFS — this is a single-condition COUNTIF)</t>
    </r>
  </si>
  <si>
    <r>
      <t>3. =COUNTBLANK(B2:B17)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(no blanks in Salesperson)</t>
    </r>
  </si>
  <si>
    <t>4. AVERAGEIF / AVERAGEIFS</t>
  </si>
  <si>
    <r>
      <t xml:space="preserve">1. Average sales for </t>
    </r>
    <r>
      <rPr>
        <b/>
        <sz val="11"/>
        <color theme="1"/>
        <rFont val="Calibri"/>
        <family val="2"/>
        <scheme val="minor"/>
      </rPr>
      <t>Laptop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=AVERAGEIF(C2:C17,"Laptop",E2:E17)</t>
    </r>
  </si>
  <si>
    <r>
      <t xml:space="preserve">2. Average sales for </t>
    </r>
    <r>
      <rPr>
        <b/>
        <sz val="11"/>
        <color theme="1"/>
        <rFont val="Calibri"/>
        <family val="2"/>
        <scheme val="minor"/>
      </rPr>
      <t>North region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=AVERAGEIF(A2:A17,"North",E2:E17)</t>
    </r>
  </si>
  <si>
    <r>
      <t xml:space="preserve">3. Average sales for </t>
    </r>
    <r>
      <rPr>
        <b/>
        <sz val="11"/>
        <color theme="1"/>
        <rFont val="Calibri"/>
        <family val="2"/>
        <scheme val="minor"/>
      </rPr>
      <t>Excellent remarks only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=AVERAGEIF(G2:G17,"Excellent",E2:E17)</t>
    </r>
  </si>
  <si>
    <r>
      <t xml:space="preserve">4. Average sales for </t>
    </r>
    <r>
      <rPr>
        <b/>
        <sz val="11"/>
        <color theme="1"/>
        <rFont val="Calibri"/>
        <family val="2"/>
        <scheme val="minor"/>
      </rPr>
      <t>Laptop in March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=AVERAGEIFS(E2:E17,C2:C17,"Laptop",F2:F17,"Mar")</t>
    </r>
  </si>
  <si>
    <r>
      <t xml:space="preserve">5. Average sales for </t>
    </r>
    <r>
      <rPr>
        <b/>
        <sz val="11"/>
        <color theme="1"/>
        <rFont val="Calibri"/>
        <family val="2"/>
        <scheme val="minor"/>
      </rPr>
      <t>Good remarks in North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=AVERAGEIFS(E2:E17,G2:G17,"Good",A2:A17,"North")</t>
    </r>
  </si>
  <si>
    <t>avg of units sold</t>
  </si>
  <si>
    <t>A (Name)</t>
  </si>
  <si>
    <t>B (Remarks)</t>
  </si>
  <si>
    <t>Good job</t>
  </si>
  <si>
    <t>average</t>
  </si>
  <si>
    <t>Poor</t>
  </si>
  <si>
    <t>excellent</t>
  </si>
  <si>
    <t>1️⃣ LEN — count the number of characters</t>
  </si>
  <si>
    <t>1. In column C, type:</t>
  </si>
  <si>
    <r>
      <t>=LEN(A2)</t>
    </r>
    <r>
      <rPr>
        <sz val="11"/>
        <color theme="1"/>
        <rFont val="Calibri"/>
        <family val="2"/>
        <scheme val="minor"/>
      </rPr>
      <t xml:space="preserve"> → to count characters in the name</t>
    </r>
  </si>
  <si>
    <t>➤ What’s the longest name?</t>
  </si>
  <si>
    <r>
      <t>2. =LEN(B2)</t>
    </r>
    <r>
      <rPr>
        <sz val="11"/>
        <color theme="1"/>
        <rFont val="Calibri"/>
        <family val="2"/>
        <scheme val="minor"/>
      </rPr>
      <t xml:space="preserve"> → count characters in each remark</t>
    </r>
  </si>
  <si>
    <t>➤ Which remark is longest?</t>
  </si>
  <si>
    <t>Length-count chars</t>
  </si>
  <si>
    <t>2️⃣ TRIM — remove unwanted extra spaces</t>
  </si>
  <si>
    <t>➤ Compare with the original “Remarks” column — spaces before/after are removed.</t>
  </si>
  <si>
    <t>➤ If result &gt; 0 → that cell had extra spaces.</t>
  </si>
  <si>
    <t>Trim</t>
  </si>
  <si>
    <t xml:space="preserve"> Good</t>
  </si>
  <si>
    <t xml:space="preserve"> Raj</t>
  </si>
  <si>
    <t xml:space="preserve"> Riya </t>
  </si>
  <si>
    <t xml:space="preserve"> Good work</t>
  </si>
  <si>
    <t>3️⃣ LEFT / RIGHT — extract text</t>
  </si>
  <si>
    <t>➤ This gives the first word like “Good”, “Excellent”, etc.</t>
  </si>
  <si>
    <t>left trim</t>
  </si>
  <si>
    <t>right trim</t>
  </si>
  <si>
    <t>1. Get first 2 letters of each name:=LEFT(A2,2)</t>
  </si>
  <si>
    <t>2. Get last 3 letters of each name:=RIGHT(A2,3)</t>
  </si>
  <si>
    <t>3. Extract the first word from remarks (if separated by space):=LEFT(B2,SEARCH(" ",B2)-1)</t>
  </si>
  <si>
    <t>2. Find how many cells had extra spaces by comparing LEN before &amp; after:=LEN(B2)-LEN(TRIM(B2))</t>
  </si>
  <si>
    <t>1. In column D:=TRIM(B2)</t>
  </si>
  <si>
    <r>
      <t xml:space="preserve">SEARCH(" ", B2)→ This looks for the </t>
    </r>
    <r>
      <rPr>
        <b/>
        <sz val="11"/>
        <color theme="1"/>
        <rFont val="Calibri"/>
        <family val="2"/>
        <scheme val="minor"/>
      </rPr>
      <t>position of the first space</t>
    </r>
    <r>
      <rPr>
        <sz val="11"/>
        <color theme="1"/>
        <rFont val="Calibri"/>
        <family val="2"/>
        <scheme val="minor"/>
      </rPr>
      <t xml:space="preserve"> in the text inside B2. The space is after “Good”, i.e. 5th character.</t>
    </r>
  </si>
  <si>
    <r>
      <t xml:space="preserve">→ 5 − 1 = </t>
    </r>
    <r>
      <rPr>
        <b/>
        <sz val="11"/>
        <color theme="1"/>
        <rFont val="Calibri"/>
        <family val="2"/>
        <scheme val="minor"/>
      </rPr>
      <t>4, This means we only want the first 4 characters from the left. LEFT(B2, 4)→ Extracts the first 4 characters of “Good job”</t>
    </r>
  </si>
  <si>
    <t>Important Notes</t>
  </si>
  <si>
    <r>
      <t xml:space="preserve">This works </t>
    </r>
    <r>
      <rPr>
        <b/>
        <sz val="11"/>
        <color theme="1"/>
        <rFont val="Calibri"/>
        <family val="2"/>
        <scheme val="minor"/>
      </rPr>
      <t>only if there’s at least one space</t>
    </r>
    <r>
      <rPr>
        <sz val="11"/>
        <color theme="1"/>
        <rFont val="Calibri"/>
        <family val="2"/>
        <scheme val="minor"/>
      </rPr>
      <t xml:space="preserve"> in the text.</t>
    </r>
  </si>
  <si>
    <r>
      <t xml:space="preserve">If F2 = </t>
    </r>
    <r>
      <rPr>
        <sz val="10"/>
        <color theme="1"/>
        <rFont val="Arial Unicode MS"/>
      </rPr>
      <t>"Good"</t>
    </r>
    <r>
      <rPr>
        <sz val="11"/>
        <color theme="1"/>
        <rFont val="Calibri"/>
        <family val="2"/>
        <scheme val="minor"/>
      </rPr>
      <t xml:space="preserve"> (no space), it will give an </t>
    </r>
    <r>
      <rPr>
        <b/>
        <sz val="11"/>
        <color theme="1"/>
        <rFont val="Calibri"/>
        <family val="2"/>
        <scheme val="minor"/>
      </rPr>
      <t>error</t>
    </r>
    <r>
      <rPr>
        <sz val="11"/>
        <color theme="1"/>
        <rFont val="Calibri"/>
        <family val="2"/>
        <scheme val="minor"/>
      </rPr>
      <t xml:space="preserve"> because </t>
    </r>
    <r>
      <rPr>
        <sz val="10"/>
        <color theme="1"/>
        <rFont val="Arial Unicode MS"/>
      </rPr>
      <t>SEARCH(" ",F2)</t>
    </r>
    <r>
      <rPr>
        <sz val="11"/>
        <color theme="1"/>
        <rFont val="Calibri"/>
        <family val="2"/>
        <scheme val="minor"/>
      </rPr>
      <t xml:space="preserve"> can’t find a space.</t>
    </r>
  </si>
  <si>
    <t>So if no space is found, it just returns the full text.</t>
  </si>
  <si>
    <t>1. LEN(B2)</t>
  </si>
  <si>
    <t>→ Counts total number of characters in the cell.</t>
  </si>
  <si>
    <r>
      <t>"Good job"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8 characters</t>
    </r>
  </si>
  <si>
    <t>2. SEARCH(" ", B2)</t>
  </si>
  <si>
    <r>
      <t xml:space="preserve">→ Finds where the </t>
    </r>
    <r>
      <rPr>
        <i/>
        <sz val="11"/>
        <color theme="1"/>
        <rFont val="Calibri"/>
        <family val="2"/>
        <scheme val="minor"/>
      </rPr>
      <t>first space</t>
    </r>
    <r>
      <rPr>
        <sz val="11"/>
        <color theme="1"/>
        <rFont val="Calibri"/>
        <family val="2"/>
        <scheme val="minor"/>
      </rPr>
      <t xml:space="preserve"> appears.</t>
    </r>
  </si>
  <si>
    <r>
      <t>"Good job"</t>
    </r>
    <r>
      <rPr>
        <sz val="11"/>
        <color theme="1"/>
        <rFont val="Calibri"/>
        <family val="2"/>
        <scheme val="minor"/>
      </rPr>
      <t xml:space="preserve"> → space is at </t>
    </r>
    <r>
      <rPr>
        <b/>
        <sz val="11"/>
        <color theme="1"/>
        <rFont val="Calibri"/>
        <family val="2"/>
        <scheme val="minor"/>
      </rPr>
      <t>position 5</t>
    </r>
  </si>
  <si>
    <t>3. LEN(B2) - SEARCH(" ", B2)</t>
  </si>
  <si>
    <r>
      <t xml:space="preserve">→ 8 − 5 = </t>
    </r>
    <r>
      <rPr>
        <b/>
        <sz val="11"/>
        <color theme="1"/>
        <rFont val="Calibri"/>
        <family val="2"/>
        <scheme val="minor"/>
      </rPr>
      <t>3</t>
    </r>
  </si>
  <si>
    <r>
      <t xml:space="preserve">(That’s how many characters come </t>
    </r>
    <r>
      <rPr>
        <i/>
        <sz val="11"/>
        <color theme="1"/>
        <rFont val="Calibri"/>
        <family val="2"/>
        <scheme val="minor"/>
      </rPr>
      <t>after</t>
    </r>
    <r>
      <rPr>
        <sz val="11"/>
        <color theme="1"/>
        <rFont val="Calibri"/>
        <family val="2"/>
        <scheme val="minor"/>
      </rPr>
      <t xml:space="preserve"> the space.)</t>
    </r>
  </si>
  <si>
    <t>4. RIGHT(B2, 3)</t>
  </si>
  <si>
    <r>
      <t xml:space="preserve">→ Takes the </t>
    </r>
    <r>
      <rPr>
        <b/>
        <sz val="11"/>
        <color theme="1"/>
        <rFont val="Calibri"/>
        <family val="2"/>
        <scheme val="minor"/>
      </rPr>
      <t>last 3 characters</t>
    </r>
    <r>
      <rPr>
        <sz val="11"/>
        <color theme="1"/>
        <rFont val="Calibri"/>
        <family val="2"/>
        <scheme val="minor"/>
      </rPr>
      <t xml:space="preserve"> from the text.</t>
    </r>
  </si>
  <si>
    <r>
      <t xml:space="preserve">✅ Result: </t>
    </r>
    <r>
      <rPr>
        <sz val="10"/>
        <color theme="1"/>
        <rFont val="Arial Unicode MS"/>
      </rPr>
      <t>"job"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</si>
</sst>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i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A3A2CF-6D8F-48AD-8F8B-921B3EA62E1D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Customer" tableColumnId="2"/>
      <queryTableField id="3" name="Product" tableColumnId="3"/>
      <queryTableField id="4" name="Sold By" tableColumnId="4"/>
      <queryTableField id="5" name="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17FBE5-CA53-4CC9-A71D-DE5BBA7B99C2}" name="Sheet1" displayName="Sheet1" ref="A1:E15" tableType="queryTable" totalsRowShown="0">
  <autoFilter ref="A1:E15" xr:uid="{CA17FBE5-CA53-4CC9-A71D-DE5BBA7B99C2}">
    <filterColumn colId="4">
      <customFilters>
        <customFilter operator="notEqual" val=" "/>
      </customFilters>
    </filterColumn>
  </autoFilter>
  <tableColumns count="5">
    <tableColumn id="1" xr3:uid="{DD0D6F02-5008-467C-A573-9AF49ED5C14C}" uniqueName="1" name="Date" queryTableFieldId="1" dataDxfId="3"/>
    <tableColumn id="2" xr3:uid="{EB6A668D-105C-4F73-8093-A543ED997C29}" uniqueName="2" name="Customer" queryTableFieldId="2" dataDxfId="2"/>
    <tableColumn id="3" xr3:uid="{0AD5451B-A61A-42BF-A8AF-C5339123B0D8}" uniqueName="3" name="Product" queryTableFieldId="3" dataDxfId="1"/>
    <tableColumn id="4" xr3:uid="{F2DC7900-311F-4F49-B37A-EA1A1D8A8A02}" uniqueName="4" name="Sold By" queryTableFieldId="4" dataDxfId="0"/>
    <tableColumn id="5" xr3:uid="{A6A1EAAE-A27B-4CBA-96DB-F15D08ED2AEC}" uniqueName="5" name="Val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5516-DF7C-477B-BAB7-1B175748F725}">
  <dimension ref="A1:E15"/>
  <sheetViews>
    <sheetView workbookViewId="0">
      <selection activeCell="E26" sqref="E26"/>
    </sheetView>
  </sheetViews>
  <sheetFormatPr defaultRowHeight="14.4"/>
  <cols>
    <col min="1" max="1" width="10.33203125" bestFit="1" customWidth="1"/>
    <col min="2" max="2" width="13.6640625" bestFit="1" customWidth="1"/>
    <col min="3" max="3" width="17.6640625" bestFit="1" customWidth="1"/>
    <col min="4" max="4" width="9.44140625" bestFit="1" customWidth="1"/>
    <col min="5" max="5" width="8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43557</v>
      </c>
      <c r="B2" s="2" t="s">
        <v>34</v>
      </c>
      <c r="C2" s="2" t="s">
        <v>6</v>
      </c>
      <c r="D2" s="2" t="s">
        <v>7</v>
      </c>
      <c r="E2">
        <v>60</v>
      </c>
    </row>
    <row r="3" spans="1:5">
      <c r="A3" s="1">
        <v>43626</v>
      </c>
      <c r="B3" s="2" t="s">
        <v>8</v>
      </c>
      <c r="C3" s="2" t="s">
        <v>9</v>
      </c>
      <c r="D3" s="2" t="s">
        <v>10</v>
      </c>
      <c r="E3">
        <v>45</v>
      </c>
    </row>
    <row r="4" spans="1:5">
      <c r="A4" s="1">
        <v>43657</v>
      </c>
      <c r="B4" s="2" t="s">
        <v>11</v>
      </c>
      <c r="C4" s="2" t="s">
        <v>12</v>
      </c>
      <c r="D4" s="2" t="s">
        <v>13</v>
      </c>
      <c r="E4">
        <v>46</v>
      </c>
    </row>
    <row r="5" spans="1:5">
      <c r="A5" s="1">
        <v>43628</v>
      </c>
      <c r="B5" s="2" t="s">
        <v>14</v>
      </c>
      <c r="C5" s="2" t="s">
        <v>15</v>
      </c>
      <c r="D5" s="2" t="s">
        <v>16</v>
      </c>
      <c r="E5">
        <v>50</v>
      </c>
    </row>
    <row r="6" spans="1:5" hidden="1">
      <c r="A6" s="1">
        <v>43629</v>
      </c>
      <c r="B6" s="2" t="s">
        <v>5</v>
      </c>
      <c r="C6" s="2" t="s">
        <v>17</v>
      </c>
      <c r="D6" s="2" t="s">
        <v>18</v>
      </c>
    </row>
    <row r="7" spans="1:5">
      <c r="A7" s="1">
        <v>43630</v>
      </c>
      <c r="B7" s="2" t="s">
        <v>8</v>
      </c>
      <c r="C7" s="2" t="s">
        <v>19</v>
      </c>
      <c r="D7" s="2" t="s">
        <v>20</v>
      </c>
      <c r="E7">
        <v>60</v>
      </c>
    </row>
    <row r="8" spans="1:5">
      <c r="A8" s="1">
        <v>43631</v>
      </c>
      <c r="B8" s="2" t="s">
        <v>8</v>
      </c>
      <c r="C8" s="2" t="s">
        <v>21</v>
      </c>
      <c r="D8" s="2" t="s">
        <v>22</v>
      </c>
      <c r="E8">
        <v>50</v>
      </c>
    </row>
    <row r="9" spans="1:5">
      <c r="A9" s="1">
        <v>43632</v>
      </c>
      <c r="B9" s="2" t="s">
        <v>34</v>
      </c>
      <c r="C9" s="2" t="s">
        <v>23</v>
      </c>
      <c r="D9" s="2" t="s">
        <v>24</v>
      </c>
      <c r="E9">
        <v>51</v>
      </c>
    </row>
    <row r="10" spans="1:5">
      <c r="A10" s="1">
        <v>43633</v>
      </c>
      <c r="B10" s="2" t="s">
        <v>25</v>
      </c>
      <c r="C10" s="2" t="s">
        <v>15</v>
      </c>
      <c r="D10" s="2" t="s">
        <v>26</v>
      </c>
      <c r="E10">
        <v>52</v>
      </c>
    </row>
    <row r="11" spans="1:5">
      <c r="A11" s="1">
        <v>43634</v>
      </c>
      <c r="B11" s="2" t="s">
        <v>27</v>
      </c>
      <c r="C11" s="2" t="s">
        <v>6</v>
      </c>
      <c r="D11" s="2" t="s">
        <v>28</v>
      </c>
      <c r="E11">
        <v>30</v>
      </c>
    </row>
    <row r="12" spans="1:5">
      <c r="A12" s="1">
        <v>43635</v>
      </c>
      <c r="B12" s="2" t="s">
        <v>34</v>
      </c>
      <c r="C12" s="2" t="s">
        <v>29</v>
      </c>
      <c r="D12" s="2" t="s">
        <v>30</v>
      </c>
      <c r="E12">
        <v>20</v>
      </c>
    </row>
    <row r="13" spans="1:5">
      <c r="A13" s="1">
        <v>43636</v>
      </c>
      <c r="B13" s="2" t="s">
        <v>11</v>
      </c>
      <c r="C13" s="2" t="s">
        <v>31</v>
      </c>
      <c r="D13" s="2" t="s">
        <v>32</v>
      </c>
      <c r="E13">
        <v>55</v>
      </c>
    </row>
    <row r="14" spans="1:5">
      <c r="A14" s="1">
        <v>43637</v>
      </c>
      <c r="B14" s="2" t="s">
        <v>14</v>
      </c>
      <c r="C14" s="2" t="s">
        <v>9</v>
      </c>
      <c r="D14" s="2" t="s">
        <v>33</v>
      </c>
      <c r="E14">
        <v>56</v>
      </c>
    </row>
    <row r="15" spans="1:5">
      <c r="A15" s="1">
        <v>43212</v>
      </c>
      <c r="B15" s="2" t="s">
        <v>8</v>
      </c>
      <c r="C15" s="2" t="s">
        <v>19</v>
      </c>
      <c r="D15" s="2" t="s">
        <v>10</v>
      </c>
      <c r="E15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5"/>
  <sheetViews>
    <sheetView workbookViewId="0">
      <selection activeCell="B8" sqref="B8"/>
    </sheetView>
  </sheetViews>
  <sheetFormatPr defaultRowHeight="14.4"/>
  <cols>
    <col min="2" max="2" width="29.77734375" bestFit="1" customWidth="1"/>
  </cols>
  <sheetData>
    <row r="1" spans="2:2">
      <c r="B1" t="s">
        <v>39</v>
      </c>
    </row>
    <row r="2" spans="2:2">
      <c r="B2" t="s">
        <v>35</v>
      </c>
    </row>
    <row r="3" spans="2:2">
      <c r="B3" t="s">
        <v>36</v>
      </c>
    </row>
    <row r="4" spans="2:2">
      <c r="B4" t="s">
        <v>37</v>
      </c>
    </row>
    <row r="5" spans="2:2">
      <c r="B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B2FA-8B55-4166-B601-8F2EF498D547}">
  <dimension ref="A1:J33"/>
  <sheetViews>
    <sheetView workbookViewId="0">
      <selection activeCell="I33" sqref="I33"/>
    </sheetView>
  </sheetViews>
  <sheetFormatPr defaultRowHeight="14.4"/>
  <cols>
    <col min="1" max="1" width="6.77734375" bestFit="1" customWidth="1"/>
    <col min="3" max="3" width="8.6640625" bestFit="1" customWidth="1"/>
    <col min="9" max="9" width="85.21875" customWidth="1"/>
    <col min="10" max="10" width="27.109375" bestFit="1" customWidth="1"/>
  </cols>
  <sheetData>
    <row r="1" spans="1:10" ht="28.8">
      <c r="A1" s="6" t="s">
        <v>40</v>
      </c>
      <c r="B1" s="6" t="s">
        <v>41</v>
      </c>
      <c r="C1" s="6" t="s">
        <v>2</v>
      </c>
      <c r="D1" s="6" t="s">
        <v>42</v>
      </c>
      <c r="E1" s="6" t="s">
        <v>43</v>
      </c>
      <c r="F1" s="6" t="s">
        <v>44</v>
      </c>
      <c r="G1" s="6" t="s">
        <v>45</v>
      </c>
      <c r="I1" s="13" t="s">
        <v>68</v>
      </c>
    </row>
    <row r="2" spans="1:10">
      <c r="A2" s="7" t="s">
        <v>46</v>
      </c>
      <c r="B2" s="8" t="s">
        <v>47</v>
      </c>
      <c r="C2" s="8" t="s">
        <v>48</v>
      </c>
      <c r="D2" s="8">
        <v>5</v>
      </c>
      <c r="E2" s="8">
        <v>250000</v>
      </c>
      <c r="F2" s="8" t="s">
        <v>49</v>
      </c>
      <c r="G2" s="9" t="s">
        <v>50</v>
      </c>
      <c r="I2" s="14"/>
    </row>
    <row r="3" spans="1:10">
      <c r="A3" s="7" t="s">
        <v>51</v>
      </c>
      <c r="B3" s="8" t="s">
        <v>52</v>
      </c>
      <c r="C3" s="8" t="s">
        <v>53</v>
      </c>
      <c r="D3" s="8">
        <v>20</v>
      </c>
      <c r="E3" s="8">
        <v>20000</v>
      </c>
      <c r="F3" s="8" t="s">
        <v>49</v>
      </c>
      <c r="G3" s="9"/>
      <c r="I3" s="14" t="s">
        <v>69</v>
      </c>
      <c r="J3" t="s">
        <v>72</v>
      </c>
    </row>
    <row r="4" spans="1:10">
      <c r="A4" s="7" t="s">
        <v>54</v>
      </c>
      <c r="B4" s="8" t="s">
        <v>55</v>
      </c>
      <c r="C4" s="8" t="s">
        <v>56</v>
      </c>
      <c r="D4" s="8">
        <v>12</v>
      </c>
      <c r="E4" s="8">
        <v>36000</v>
      </c>
      <c r="F4" s="8" t="s">
        <v>57</v>
      </c>
      <c r="G4" s="9" t="s">
        <v>58</v>
      </c>
      <c r="I4" s="14">
        <f>COUNT(D2:D17)</f>
        <v>16</v>
      </c>
    </row>
    <row r="5" spans="1:10">
      <c r="A5" s="7" t="s">
        <v>59</v>
      </c>
      <c r="B5" s="8" t="s">
        <v>60</v>
      </c>
      <c r="C5" s="8" t="s">
        <v>48</v>
      </c>
      <c r="D5" s="8">
        <v>7</v>
      </c>
      <c r="E5" s="8">
        <v>350000</v>
      </c>
      <c r="F5" s="8" t="s">
        <v>61</v>
      </c>
      <c r="G5" s="9"/>
      <c r="I5" s="14" t="s">
        <v>70</v>
      </c>
      <c r="J5" t="s">
        <v>73</v>
      </c>
    </row>
    <row r="6" spans="1:10">
      <c r="A6" s="7" t="s">
        <v>46</v>
      </c>
      <c r="B6" s="8" t="s">
        <v>62</v>
      </c>
      <c r="C6" s="8" t="s">
        <v>63</v>
      </c>
      <c r="D6" s="8">
        <v>4</v>
      </c>
      <c r="E6" s="8">
        <v>60000</v>
      </c>
      <c r="F6" s="8" t="s">
        <v>49</v>
      </c>
      <c r="G6" s="9" t="s">
        <v>50</v>
      </c>
      <c r="I6" s="14">
        <f>COUNTA(G2:G17)</f>
        <v>10</v>
      </c>
    </row>
    <row r="7" spans="1:10">
      <c r="A7" s="7" t="s">
        <v>51</v>
      </c>
      <c r="B7" s="8" t="s">
        <v>64</v>
      </c>
      <c r="C7" s="8" t="s">
        <v>48</v>
      </c>
      <c r="D7" s="8">
        <v>3</v>
      </c>
      <c r="E7" s="8">
        <v>150000</v>
      </c>
      <c r="F7" s="8" t="s">
        <v>57</v>
      </c>
      <c r="G7" s="9" t="s">
        <v>65</v>
      </c>
      <c r="I7" s="14" t="s">
        <v>71</v>
      </c>
      <c r="J7" s="16" t="s">
        <v>74</v>
      </c>
    </row>
    <row r="8" spans="1:10">
      <c r="A8" s="7" t="s">
        <v>54</v>
      </c>
      <c r="B8" s="8" t="s">
        <v>66</v>
      </c>
      <c r="C8" s="8" t="s">
        <v>53</v>
      </c>
      <c r="D8" s="8">
        <v>25</v>
      </c>
      <c r="E8" s="8">
        <v>25000</v>
      </c>
      <c r="F8" s="8" t="s">
        <v>61</v>
      </c>
      <c r="G8" s="9"/>
      <c r="I8" s="15">
        <f>COUNTBLANK(G2:G17)</f>
        <v>6</v>
      </c>
    </row>
    <row r="9" spans="1:10">
      <c r="A9" s="7" t="s">
        <v>59</v>
      </c>
      <c r="B9" s="8" t="s">
        <v>67</v>
      </c>
      <c r="C9" s="8" t="s">
        <v>56</v>
      </c>
      <c r="D9" s="8">
        <v>10</v>
      </c>
      <c r="E9" s="8">
        <v>30000</v>
      </c>
      <c r="F9" s="8" t="s">
        <v>61</v>
      </c>
      <c r="G9" s="9" t="s">
        <v>58</v>
      </c>
    </row>
    <row r="10" spans="1:10" ht="15.6">
      <c r="A10" s="7" t="s">
        <v>46</v>
      </c>
      <c r="B10" s="8" t="s">
        <v>47</v>
      </c>
      <c r="C10" s="8" t="s">
        <v>53</v>
      </c>
      <c r="D10" s="8">
        <v>15</v>
      </c>
      <c r="E10" s="8">
        <v>15000</v>
      </c>
      <c r="F10" s="8" t="s">
        <v>57</v>
      </c>
      <c r="G10" s="9"/>
      <c r="I10" s="13" t="s">
        <v>75</v>
      </c>
    </row>
    <row r="11" spans="1:10">
      <c r="A11" s="7" t="s">
        <v>51</v>
      </c>
      <c r="B11" s="8" t="s">
        <v>52</v>
      </c>
      <c r="C11" s="8" t="s">
        <v>63</v>
      </c>
      <c r="D11" s="8">
        <v>6</v>
      </c>
      <c r="E11" s="8">
        <v>90000</v>
      </c>
      <c r="F11" s="8" t="s">
        <v>49</v>
      </c>
      <c r="G11" s="9" t="s">
        <v>50</v>
      </c>
      <c r="I11" s="14"/>
    </row>
    <row r="12" spans="1:10">
      <c r="A12" s="7" t="s">
        <v>54</v>
      </c>
      <c r="B12" s="8" t="s">
        <v>55</v>
      </c>
      <c r="C12" s="8" t="s">
        <v>48</v>
      </c>
      <c r="D12" s="8">
        <v>8</v>
      </c>
      <c r="E12" s="8">
        <v>400000</v>
      </c>
      <c r="F12" s="8" t="s">
        <v>49</v>
      </c>
      <c r="G12" s="9" t="s">
        <v>58</v>
      </c>
      <c r="I12" s="14" t="s">
        <v>76</v>
      </c>
    </row>
    <row r="13" spans="1:10">
      <c r="A13" s="7" t="s">
        <v>59</v>
      </c>
      <c r="B13" s="8" t="s">
        <v>60</v>
      </c>
      <c r="C13" s="8" t="s">
        <v>53</v>
      </c>
      <c r="D13" s="8">
        <v>18</v>
      </c>
      <c r="E13" s="8">
        <v>18000</v>
      </c>
      <c r="F13" s="8" t="s">
        <v>57</v>
      </c>
      <c r="G13" s="9"/>
      <c r="I13" s="14">
        <f>SUM(E2:E17)</f>
        <v>2116000</v>
      </c>
    </row>
    <row r="14" spans="1:10">
      <c r="A14" s="7" t="s">
        <v>46</v>
      </c>
      <c r="B14" s="8" t="s">
        <v>62</v>
      </c>
      <c r="C14" s="8" t="s">
        <v>56</v>
      </c>
      <c r="D14" s="8">
        <v>9</v>
      </c>
      <c r="E14" s="8">
        <v>27000</v>
      </c>
      <c r="F14" s="8" t="s">
        <v>61</v>
      </c>
      <c r="G14" s="9" t="s">
        <v>50</v>
      </c>
      <c r="I14" s="14" t="s">
        <v>77</v>
      </c>
    </row>
    <row r="15" spans="1:10">
      <c r="A15" s="7" t="s">
        <v>51</v>
      </c>
      <c r="B15" s="8" t="s">
        <v>64</v>
      </c>
      <c r="C15" s="8" t="s">
        <v>48</v>
      </c>
      <c r="D15" s="8">
        <v>10</v>
      </c>
      <c r="E15" s="8">
        <v>500000</v>
      </c>
      <c r="F15" s="8" t="s">
        <v>61</v>
      </c>
      <c r="G15" s="9" t="s">
        <v>58</v>
      </c>
      <c r="I15" s="14">
        <f>SUMIF(A2:A17,"North",E2:E17)</f>
        <v>352000</v>
      </c>
    </row>
    <row r="16" spans="1:10">
      <c r="A16" s="7" t="s">
        <v>54</v>
      </c>
      <c r="B16" s="8" t="s">
        <v>66</v>
      </c>
      <c r="C16" s="8" t="s">
        <v>63</v>
      </c>
      <c r="D16" s="8">
        <v>3</v>
      </c>
      <c r="E16" s="8">
        <v>45000</v>
      </c>
      <c r="F16" s="8" t="s">
        <v>49</v>
      </c>
      <c r="G16" s="9"/>
      <c r="I16" s="14" t="s">
        <v>78</v>
      </c>
    </row>
    <row r="17" spans="1:9">
      <c r="A17" s="10" t="s">
        <v>59</v>
      </c>
      <c r="B17" s="11" t="s">
        <v>67</v>
      </c>
      <c r="C17" s="11" t="s">
        <v>48</v>
      </c>
      <c r="D17" s="11">
        <v>2</v>
      </c>
      <c r="E17" s="11">
        <v>100000</v>
      </c>
      <c r="F17" s="11" t="s">
        <v>57</v>
      </c>
      <c r="G17" s="12" t="s">
        <v>65</v>
      </c>
      <c r="I17" s="14">
        <f>SUMIF(C2:C17,"Laptop",E2:E17)</f>
        <v>1750000</v>
      </c>
    </row>
    <row r="18" spans="1:9">
      <c r="I18" s="14" t="s">
        <v>79</v>
      </c>
    </row>
    <row r="19" spans="1:9">
      <c r="I19" s="14">
        <f>SUMIFS(E2:E17,A2:A17,"North",C2:C17,"Laptop")</f>
        <v>250000</v>
      </c>
    </row>
    <row r="20" spans="1:9" ht="18">
      <c r="A20" s="5"/>
      <c r="I20" s="14" t="s">
        <v>80</v>
      </c>
    </row>
    <row r="21" spans="1:9">
      <c r="I21">
        <f>SUMIFS(E2:E17,F2:F17,"Jan",C2:C17,"Laptop")</f>
        <v>650000</v>
      </c>
    </row>
    <row r="22" spans="1:9" ht="15.6">
      <c r="I22" s="13" t="s">
        <v>86</v>
      </c>
    </row>
    <row r="23" spans="1:9">
      <c r="I23" s="14"/>
    </row>
    <row r="24" spans="1:9">
      <c r="I24" s="14" t="s">
        <v>81</v>
      </c>
    </row>
    <row r="25" spans="1:9">
      <c r="I25" s="14">
        <f>COUNTIF(A2:A17,"East")</f>
        <v>4</v>
      </c>
    </row>
    <row r="26" spans="1:9">
      <c r="I26" s="14" t="s">
        <v>82</v>
      </c>
    </row>
    <row r="27" spans="1:9">
      <c r="I27" s="14">
        <f>COUNTIF(C2:C17,"Laptop")</f>
        <v>6</v>
      </c>
    </row>
    <row r="28" spans="1:9">
      <c r="I28" s="14" t="s">
        <v>83</v>
      </c>
    </row>
    <row r="29" spans="1:9">
      <c r="I29" s="14">
        <f>COUNTIFS(C2:C17,"Laptop",F2:F17,"Mar")</f>
        <v>2</v>
      </c>
    </row>
    <row r="30" spans="1:9">
      <c r="I30" s="14" t="s">
        <v>84</v>
      </c>
    </row>
    <row r="31" spans="1:9">
      <c r="I31" s="14">
        <f>COUNTIF(G2:G17,"Excellent")</f>
        <v>4</v>
      </c>
    </row>
    <row r="32" spans="1:9">
      <c r="I32" s="14" t="s">
        <v>85</v>
      </c>
    </row>
    <row r="33" spans="9:9">
      <c r="I33" s="17">
        <f>COUNTIFS(C2:C17,"Laptop",A2:A17,"South")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F464F-32E6-4C13-8C5A-8FF1F079805C}">
  <dimension ref="A1:K17"/>
  <sheetViews>
    <sheetView workbookViewId="0">
      <selection activeCell="K16" sqref="K16"/>
    </sheetView>
  </sheetViews>
  <sheetFormatPr defaultRowHeight="14.4"/>
  <cols>
    <col min="10" max="10" width="14.21875" bestFit="1" customWidth="1"/>
    <col min="11" max="11" width="13.44140625" bestFit="1" customWidth="1"/>
  </cols>
  <sheetData>
    <row r="1" spans="1:11" ht="28.8">
      <c r="A1" s="6" t="s">
        <v>40</v>
      </c>
      <c r="B1" s="6" t="s">
        <v>41</v>
      </c>
      <c r="C1" s="6" t="s">
        <v>2</v>
      </c>
      <c r="D1" s="6" t="s">
        <v>42</v>
      </c>
      <c r="E1" s="6" t="s">
        <v>43</v>
      </c>
      <c r="F1" s="6" t="s">
        <v>44</v>
      </c>
      <c r="G1" s="6" t="s">
        <v>45</v>
      </c>
      <c r="K1" s="13" t="s">
        <v>111</v>
      </c>
    </row>
    <row r="2" spans="1:11">
      <c r="A2" s="7" t="s">
        <v>46</v>
      </c>
      <c r="B2" s="8" t="s">
        <v>47</v>
      </c>
      <c r="C2" s="8" t="s">
        <v>48</v>
      </c>
      <c r="D2" s="8">
        <v>5</v>
      </c>
      <c r="E2" s="8">
        <v>250000</v>
      </c>
      <c r="F2" s="8" t="s">
        <v>49</v>
      </c>
      <c r="G2" s="9" t="s">
        <v>50</v>
      </c>
      <c r="K2" s="14"/>
    </row>
    <row r="3" spans="1:11">
      <c r="A3" s="7" t="s">
        <v>51</v>
      </c>
      <c r="B3" s="8" t="s">
        <v>52</v>
      </c>
      <c r="C3" s="8" t="s">
        <v>53</v>
      </c>
      <c r="D3" s="8">
        <v>20</v>
      </c>
      <c r="E3" s="8">
        <v>20000</v>
      </c>
      <c r="F3" s="8" t="s">
        <v>49</v>
      </c>
      <c r="G3" s="9"/>
      <c r="K3" s="14" t="s">
        <v>112</v>
      </c>
    </row>
    <row r="4" spans="1:11">
      <c r="A4" s="7" t="s">
        <v>54</v>
      </c>
      <c r="B4" s="8" t="s">
        <v>55</v>
      </c>
      <c r="C4" s="8" t="s">
        <v>56</v>
      </c>
      <c r="D4" s="8">
        <v>12</v>
      </c>
      <c r="E4" s="8">
        <v>36000</v>
      </c>
      <c r="F4" s="8" t="s">
        <v>57</v>
      </c>
      <c r="G4" s="9" t="s">
        <v>58</v>
      </c>
      <c r="K4" s="14">
        <f>AVERAGEIF(C2:C17,"Laptop",E2:E17)</f>
        <v>291666.66666666669</v>
      </c>
    </row>
    <row r="5" spans="1:11">
      <c r="A5" s="7" t="s">
        <v>59</v>
      </c>
      <c r="B5" s="8" t="s">
        <v>60</v>
      </c>
      <c r="C5" s="8" t="s">
        <v>48</v>
      </c>
      <c r="D5" s="8">
        <v>7</v>
      </c>
      <c r="E5" s="8">
        <v>350000</v>
      </c>
      <c r="F5" s="8" t="s">
        <v>61</v>
      </c>
      <c r="G5" s="9"/>
      <c r="K5" s="14" t="s">
        <v>113</v>
      </c>
    </row>
    <row r="6" spans="1:11">
      <c r="A6" s="7" t="s">
        <v>46</v>
      </c>
      <c r="B6" s="8" t="s">
        <v>62</v>
      </c>
      <c r="C6" s="8" t="s">
        <v>63</v>
      </c>
      <c r="D6" s="8">
        <v>4</v>
      </c>
      <c r="E6" s="8">
        <v>60000</v>
      </c>
      <c r="F6" s="8" t="s">
        <v>49</v>
      </c>
      <c r="G6" s="9" t="s">
        <v>50</v>
      </c>
      <c r="K6" s="14">
        <f>AVERAGEIF(A2:A17,"North",E2:E17)</f>
        <v>88000</v>
      </c>
    </row>
    <row r="7" spans="1:11">
      <c r="A7" s="7" t="s">
        <v>51</v>
      </c>
      <c r="B7" s="8" t="s">
        <v>64</v>
      </c>
      <c r="C7" s="8" t="s">
        <v>48</v>
      </c>
      <c r="D7" s="8">
        <v>3</v>
      </c>
      <c r="E7" s="8">
        <v>150000</v>
      </c>
      <c r="F7" s="8" t="s">
        <v>57</v>
      </c>
      <c r="G7" s="9" t="s">
        <v>65</v>
      </c>
      <c r="K7" s="14" t="s">
        <v>114</v>
      </c>
    </row>
    <row r="8" spans="1:11">
      <c r="A8" s="7" t="s">
        <v>54</v>
      </c>
      <c r="B8" s="8" t="s">
        <v>66</v>
      </c>
      <c r="C8" s="8" t="s">
        <v>53</v>
      </c>
      <c r="D8" s="8">
        <v>25</v>
      </c>
      <c r="E8" s="8">
        <v>25000</v>
      </c>
      <c r="F8" s="8" t="s">
        <v>61</v>
      </c>
      <c r="G8" s="9"/>
      <c r="K8" s="14">
        <f>AVERAGEIF(G2:G17,"Excellent",E2:E17)</f>
        <v>241500</v>
      </c>
    </row>
    <row r="9" spans="1:11">
      <c r="A9" s="7" t="s">
        <v>59</v>
      </c>
      <c r="B9" s="8" t="s">
        <v>67</v>
      </c>
      <c r="C9" s="8" t="s">
        <v>56</v>
      </c>
      <c r="D9" s="8">
        <v>10</v>
      </c>
      <c r="E9" s="8">
        <v>30000</v>
      </c>
      <c r="F9" s="8" t="s">
        <v>61</v>
      </c>
      <c r="G9" s="9" t="s">
        <v>58</v>
      </c>
      <c r="K9" s="14" t="s">
        <v>115</v>
      </c>
    </row>
    <row r="10" spans="1:11">
      <c r="A10" s="7" t="s">
        <v>46</v>
      </c>
      <c r="B10" s="8" t="s">
        <v>47</v>
      </c>
      <c r="C10" s="8" t="s">
        <v>53</v>
      </c>
      <c r="D10" s="8">
        <v>15</v>
      </c>
      <c r="E10" s="8">
        <v>15000</v>
      </c>
      <c r="F10" s="8" t="s">
        <v>57</v>
      </c>
      <c r="G10" s="9"/>
      <c r="K10" s="14">
        <f>AVERAGEIFS(E2:E17,C2:C17,"Laptop",F2:F17,"Mar")</f>
        <v>425000</v>
      </c>
    </row>
    <row r="11" spans="1:11">
      <c r="A11" s="7" t="s">
        <v>51</v>
      </c>
      <c r="B11" s="8" t="s">
        <v>52</v>
      </c>
      <c r="C11" s="8" t="s">
        <v>63</v>
      </c>
      <c r="D11" s="8">
        <v>6</v>
      </c>
      <c r="E11" s="8">
        <v>90000</v>
      </c>
      <c r="F11" s="8" t="s">
        <v>49</v>
      </c>
      <c r="G11" s="9" t="s">
        <v>50</v>
      </c>
      <c r="K11" s="14" t="s">
        <v>116</v>
      </c>
    </row>
    <row r="12" spans="1:11">
      <c r="A12" s="7" t="s">
        <v>54</v>
      </c>
      <c r="B12" s="8" t="s">
        <v>55</v>
      </c>
      <c r="C12" s="8" t="s">
        <v>48</v>
      </c>
      <c r="D12" s="8">
        <v>8</v>
      </c>
      <c r="E12" s="8">
        <v>400000</v>
      </c>
      <c r="F12" s="8" t="s">
        <v>49</v>
      </c>
      <c r="G12" s="9" t="s">
        <v>58</v>
      </c>
      <c r="K12">
        <f>AVERAGEIFS(E2:E17,A2:A17,"North",G2:G17,"Good")</f>
        <v>112333.33333333333</v>
      </c>
    </row>
    <row r="13" spans="1:11">
      <c r="A13" s="7" t="s">
        <v>59</v>
      </c>
      <c r="B13" s="8" t="s">
        <v>60</v>
      </c>
      <c r="C13" s="8" t="s">
        <v>53</v>
      </c>
      <c r="D13" s="8">
        <v>18</v>
      </c>
      <c r="E13" s="8">
        <v>18000</v>
      </c>
      <c r="F13" s="8" t="s">
        <v>57</v>
      </c>
      <c r="G13" s="9"/>
    </row>
    <row r="14" spans="1:11">
      <c r="A14" s="7" t="s">
        <v>46</v>
      </c>
      <c r="B14" s="8" t="s">
        <v>62</v>
      </c>
      <c r="C14" s="8" t="s">
        <v>56</v>
      </c>
      <c r="D14" s="8">
        <v>9</v>
      </c>
      <c r="E14" s="8">
        <v>27000</v>
      </c>
      <c r="F14" s="8" t="s">
        <v>61</v>
      </c>
      <c r="G14" s="9" t="s">
        <v>50</v>
      </c>
    </row>
    <row r="15" spans="1:11">
      <c r="A15" s="7" t="s">
        <v>51</v>
      </c>
      <c r="B15" s="8" t="s">
        <v>64</v>
      </c>
      <c r="C15" s="8" t="s">
        <v>48</v>
      </c>
      <c r="D15" s="8">
        <v>10</v>
      </c>
      <c r="E15" s="8">
        <v>500000</v>
      </c>
      <c r="F15" s="8" t="s">
        <v>61</v>
      </c>
      <c r="G15" s="9" t="s">
        <v>58</v>
      </c>
      <c r="J15" t="s">
        <v>117</v>
      </c>
      <c r="K15">
        <f>AVERAGE(D2:D17)</f>
        <v>9.8125</v>
      </c>
    </row>
    <row r="16" spans="1:11">
      <c r="A16" s="7" t="s">
        <v>54</v>
      </c>
      <c r="B16" s="8" t="s">
        <v>66</v>
      </c>
      <c r="C16" s="8" t="s">
        <v>63</v>
      </c>
      <c r="D16" s="8">
        <v>3</v>
      </c>
      <c r="E16" s="8">
        <v>45000</v>
      </c>
      <c r="F16" s="8" t="s">
        <v>49</v>
      </c>
      <c r="G16" s="9"/>
    </row>
    <row r="17" spans="1:7">
      <c r="A17" s="10" t="s">
        <v>59</v>
      </c>
      <c r="B17" s="11" t="s">
        <v>67</v>
      </c>
      <c r="C17" s="11" t="s">
        <v>48</v>
      </c>
      <c r="D17" s="11">
        <v>2</v>
      </c>
      <c r="E17" s="11">
        <v>100000</v>
      </c>
      <c r="F17" s="11" t="s">
        <v>57</v>
      </c>
      <c r="G17" s="12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04E9-916F-4AD4-ABE1-C845B0461DFE}">
  <dimension ref="A1:Q23"/>
  <sheetViews>
    <sheetView workbookViewId="0">
      <selection sqref="A1:G17"/>
    </sheetView>
  </sheetViews>
  <sheetFormatPr defaultRowHeight="14.4"/>
  <sheetData>
    <row r="1" spans="1:17" ht="28.8">
      <c r="A1" s="6" t="s">
        <v>40</v>
      </c>
      <c r="B1" s="6" t="s">
        <v>41</v>
      </c>
      <c r="C1" s="6" t="s">
        <v>2</v>
      </c>
      <c r="D1" s="6" t="s">
        <v>42</v>
      </c>
      <c r="E1" s="6" t="s">
        <v>43</v>
      </c>
      <c r="F1" s="6" t="s">
        <v>44</v>
      </c>
      <c r="G1" s="6" t="s">
        <v>45</v>
      </c>
      <c r="I1" s="5" t="s">
        <v>87</v>
      </c>
      <c r="Q1" s="5" t="s">
        <v>102</v>
      </c>
    </row>
    <row r="2" spans="1:17">
      <c r="A2" s="7" t="s">
        <v>46</v>
      </c>
      <c r="B2" s="8" t="s">
        <v>47</v>
      </c>
      <c r="C2" s="8" t="s">
        <v>48</v>
      </c>
      <c r="D2" s="8">
        <v>5</v>
      </c>
      <c r="E2" s="8">
        <v>250000</v>
      </c>
      <c r="F2" s="8" t="s">
        <v>49</v>
      </c>
      <c r="G2" s="9" t="s">
        <v>50</v>
      </c>
      <c r="I2" s="14"/>
      <c r="Q2" s="14"/>
    </row>
    <row r="3" spans="1:17">
      <c r="A3" s="7" t="s">
        <v>51</v>
      </c>
      <c r="B3" s="8" t="s">
        <v>52</v>
      </c>
      <c r="C3" s="8" t="s">
        <v>53</v>
      </c>
      <c r="D3" s="8">
        <v>20</v>
      </c>
      <c r="E3" s="8">
        <v>20000</v>
      </c>
      <c r="F3" s="8" t="s">
        <v>49</v>
      </c>
      <c r="G3" s="9"/>
      <c r="I3" s="14" t="s">
        <v>88</v>
      </c>
      <c r="Q3" s="14" t="s">
        <v>103</v>
      </c>
    </row>
    <row r="4" spans="1:17">
      <c r="A4" s="7" t="s">
        <v>54</v>
      </c>
      <c r="B4" s="8" t="s">
        <v>55</v>
      </c>
      <c r="C4" s="8" t="s">
        <v>56</v>
      </c>
      <c r="D4" s="8">
        <v>12</v>
      </c>
      <c r="E4" s="8">
        <v>36000</v>
      </c>
      <c r="F4" s="8" t="s">
        <v>57</v>
      </c>
      <c r="G4" s="9" t="s">
        <v>58</v>
      </c>
      <c r="I4" s="18" t="s">
        <v>89</v>
      </c>
      <c r="Q4" s="18" t="s">
        <v>104</v>
      </c>
    </row>
    <row r="5" spans="1:17">
      <c r="A5" s="7" t="s">
        <v>59</v>
      </c>
      <c r="B5" s="8" t="s">
        <v>60</v>
      </c>
      <c r="C5" s="8" t="s">
        <v>48</v>
      </c>
      <c r="D5" s="8">
        <v>7</v>
      </c>
      <c r="E5" s="8">
        <v>350000</v>
      </c>
      <c r="F5" s="8" t="s">
        <v>61</v>
      </c>
      <c r="G5" s="9"/>
      <c r="I5" s="14">
        <f>COUNT(D2:D17)</f>
        <v>16</v>
      </c>
      <c r="Q5" s="14">
        <f>COUNTBLANK(G2:G17)</f>
        <v>6</v>
      </c>
    </row>
    <row r="6" spans="1:17">
      <c r="A6" s="7" t="s">
        <v>46</v>
      </c>
      <c r="B6" s="8" t="s">
        <v>62</v>
      </c>
      <c r="C6" s="8" t="s">
        <v>63</v>
      </c>
      <c r="D6" s="8">
        <v>4</v>
      </c>
      <c r="E6" s="8">
        <v>60000</v>
      </c>
      <c r="F6" s="8" t="s">
        <v>49</v>
      </c>
      <c r="G6" s="9" t="s">
        <v>50</v>
      </c>
      <c r="I6" s="14" t="s">
        <v>90</v>
      </c>
      <c r="Q6" s="14" t="s">
        <v>105</v>
      </c>
    </row>
    <row r="7" spans="1:17">
      <c r="A7" s="7" t="s">
        <v>51</v>
      </c>
      <c r="B7" s="8" t="s">
        <v>64</v>
      </c>
      <c r="C7" s="8" t="s">
        <v>48</v>
      </c>
      <c r="D7" s="8">
        <v>3</v>
      </c>
      <c r="E7" s="8">
        <v>150000</v>
      </c>
      <c r="F7" s="8" t="s">
        <v>57</v>
      </c>
      <c r="G7" s="9" t="s">
        <v>65</v>
      </c>
      <c r="I7" s="18" t="s">
        <v>91</v>
      </c>
      <c r="Q7" s="18" t="s">
        <v>106</v>
      </c>
    </row>
    <row r="8" spans="1:17">
      <c r="A8" s="7" t="s">
        <v>54</v>
      </c>
      <c r="B8" s="8" t="s">
        <v>66</v>
      </c>
      <c r="C8" s="8" t="s">
        <v>53</v>
      </c>
      <c r="D8" s="8">
        <v>25</v>
      </c>
      <c r="E8" s="8">
        <v>25000</v>
      </c>
      <c r="F8" s="8" t="s">
        <v>61</v>
      </c>
      <c r="G8" s="9"/>
      <c r="I8" s="14">
        <f>COUNT(E2:E17)</f>
        <v>16</v>
      </c>
      <c r="Q8">
        <f>COUNTBLANK(F2:F17)</f>
        <v>0</v>
      </c>
    </row>
    <row r="9" spans="1:17">
      <c r="A9" s="7" t="s">
        <v>59</v>
      </c>
      <c r="B9" s="8" t="s">
        <v>67</v>
      </c>
      <c r="C9" s="8" t="s">
        <v>56</v>
      </c>
      <c r="D9" s="8">
        <v>10</v>
      </c>
      <c r="E9" s="8">
        <v>30000</v>
      </c>
      <c r="F9" s="8" t="s">
        <v>61</v>
      </c>
      <c r="G9" s="9" t="s">
        <v>58</v>
      </c>
      <c r="I9" s="14" t="s">
        <v>92</v>
      </c>
    </row>
    <row r="10" spans="1:17">
      <c r="A10" s="7" t="s">
        <v>46</v>
      </c>
      <c r="B10" s="8" t="s">
        <v>47</v>
      </c>
      <c r="C10" s="8" t="s">
        <v>53</v>
      </c>
      <c r="D10" s="8">
        <v>15</v>
      </c>
      <c r="E10" s="8">
        <v>15000</v>
      </c>
      <c r="F10" s="8" t="s">
        <v>57</v>
      </c>
      <c r="G10" s="9"/>
      <c r="I10" s="14" t="s">
        <v>93</v>
      </c>
    </row>
    <row r="11" spans="1:17">
      <c r="A11" s="7" t="s">
        <v>51</v>
      </c>
      <c r="B11" s="8" t="s">
        <v>52</v>
      </c>
      <c r="C11" s="8" t="s">
        <v>63</v>
      </c>
      <c r="D11" s="8">
        <v>6</v>
      </c>
      <c r="E11" s="8">
        <v>90000</v>
      </c>
      <c r="F11" s="8" t="s">
        <v>49</v>
      </c>
      <c r="G11" s="9" t="s">
        <v>50</v>
      </c>
      <c r="I11">
        <f>COUNT(A2:A17)</f>
        <v>0</v>
      </c>
    </row>
    <row r="12" spans="1:17" ht="18">
      <c r="A12" s="7" t="s">
        <v>54</v>
      </c>
      <c r="B12" s="8" t="s">
        <v>55</v>
      </c>
      <c r="C12" s="8" t="s">
        <v>48</v>
      </c>
      <c r="D12" s="8">
        <v>8</v>
      </c>
      <c r="E12" s="8">
        <v>400000</v>
      </c>
      <c r="F12" s="8" t="s">
        <v>49</v>
      </c>
      <c r="G12" s="9" t="s">
        <v>58</v>
      </c>
      <c r="I12" s="5" t="s">
        <v>94</v>
      </c>
      <c r="Q12" s="5" t="s">
        <v>107</v>
      </c>
    </row>
    <row r="13" spans="1:17">
      <c r="A13" s="7" t="s">
        <v>59</v>
      </c>
      <c r="B13" s="8" t="s">
        <v>60</v>
      </c>
      <c r="C13" s="8" t="s">
        <v>53</v>
      </c>
      <c r="D13" s="8">
        <v>18</v>
      </c>
      <c r="E13" s="8">
        <v>18000</v>
      </c>
      <c r="F13" s="8" t="s">
        <v>57</v>
      </c>
      <c r="G13" s="9"/>
      <c r="I13" s="14"/>
      <c r="Q13" s="14"/>
    </row>
    <row r="14" spans="1:17">
      <c r="A14" s="7" t="s">
        <v>46</v>
      </c>
      <c r="B14" s="8" t="s">
        <v>62</v>
      </c>
      <c r="C14" s="8" t="s">
        <v>56</v>
      </c>
      <c r="D14" s="8">
        <v>9</v>
      </c>
      <c r="E14" s="8">
        <v>27000</v>
      </c>
      <c r="F14" s="8" t="s">
        <v>61</v>
      </c>
      <c r="G14" s="9" t="s">
        <v>50</v>
      </c>
      <c r="I14" s="14" t="s">
        <v>95</v>
      </c>
      <c r="Q14" s="18" t="s">
        <v>108</v>
      </c>
    </row>
    <row r="15" spans="1:17">
      <c r="A15" s="7" t="s">
        <v>51</v>
      </c>
      <c r="B15" s="8" t="s">
        <v>64</v>
      </c>
      <c r="C15" s="8" t="s">
        <v>48</v>
      </c>
      <c r="D15" s="8">
        <v>10</v>
      </c>
      <c r="E15" s="8">
        <v>500000</v>
      </c>
      <c r="F15" s="8" t="s">
        <v>61</v>
      </c>
      <c r="G15" s="9" t="s">
        <v>58</v>
      </c>
      <c r="I15" s="18" t="s">
        <v>96</v>
      </c>
      <c r="Q15" s="14">
        <f>COUNTA(A2:A17)</f>
        <v>16</v>
      </c>
    </row>
    <row r="16" spans="1:17">
      <c r="A16" s="7" t="s">
        <v>54</v>
      </c>
      <c r="B16" s="8" t="s">
        <v>66</v>
      </c>
      <c r="C16" s="8" t="s">
        <v>63</v>
      </c>
      <c r="D16" s="8">
        <v>3</v>
      </c>
      <c r="E16" s="8">
        <v>45000</v>
      </c>
      <c r="F16" s="8" t="s">
        <v>49</v>
      </c>
      <c r="G16" s="9"/>
      <c r="I16" s="14">
        <f>COUNTA(G2:G17)</f>
        <v>10</v>
      </c>
      <c r="Q16" s="18" t="s">
        <v>109</v>
      </c>
    </row>
    <row r="17" spans="1:17">
      <c r="A17" s="10" t="s">
        <v>59</v>
      </c>
      <c r="B17" s="11" t="s">
        <v>67</v>
      </c>
      <c r="C17" s="11" t="s">
        <v>48</v>
      </c>
      <c r="D17" s="11">
        <v>2</v>
      </c>
      <c r="E17" s="11">
        <v>100000</v>
      </c>
      <c r="F17" s="11" t="s">
        <v>57</v>
      </c>
      <c r="G17" s="12" t="s">
        <v>65</v>
      </c>
      <c r="I17" s="14" t="s">
        <v>97</v>
      </c>
      <c r="Q17" s="14">
        <f>COUNTIF(G2:G17,"Excellent")</f>
        <v>4</v>
      </c>
    </row>
    <row r="18" spans="1:17">
      <c r="I18" s="18" t="s">
        <v>98</v>
      </c>
      <c r="Q18" s="18" t="s">
        <v>110</v>
      </c>
    </row>
    <row r="19" spans="1:17">
      <c r="I19" s="14">
        <f>COUNTA(B2:B17)</f>
        <v>16</v>
      </c>
      <c r="Q19">
        <f>COUNTBLANK(B2:B17)</f>
        <v>0</v>
      </c>
    </row>
    <row r="20" spans="1:17">
      <c r="I20" s="14" t="s">
        <v>99</v>
      </c>
      <c r="Q20">
        <f>COUNTBLANK(G2:G17)</f>
        <v>6</v>
      </c>
    </row>
    <row r="21" spans="1:17">
      <c r="I21" s="18" t="s">
        <v>100</v>
      </c>
    </row>
    <row r="22" spans="1:17">
      <c r="I22">
        <f>COUNTA(A2:G2)</f>
        <v>7</v>
      </c>
    </row>
    <row r="23" spans="1:17">
      <c r="I23">
        <f>COUNTA(A3:G3)</f>
        <v>6</v>
      </c>
      <c r="J23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2C30A-2B42-4DA7-90AE-6F6A56D61B92}">
  <dimension ref="A1:R29"/>
  <sheetViews>
    <sheetView tabSelected="1" topLeftCell="A4" workbookViewId="0">
      <selection activeCell="A27" sqref="A27"/>
    </sheetView>
  </sheetViews>
  <sheetFormatPr defaultRowHeight="14.4"/>
  <cols>
    <col min="1" max="1" width="10.44140625" customWidth="1"/>
    <col min="2" max="2" width="11.44140625" customWidth="1"/>
    <col min="4" max="4" width="10.6640625" customWidth="1"/>
    <col min="9" max="9" width="5.5546875" customWidth="1"/>
    <col min="18" max="18" width="45.6640625" bestFit="1" customWidth="1"/>
  </cols>
  <sheetData>
    <row r="1" spans="1:18" ht="18">
      <c r="A1" s="3" t="s">
        <v>118</v>
      </c>
      <c r="B1" s="3" t="s">
        <v>119</v>
      </c>
      <c r="C1" s="19" t="s">
        <v>130</v>
      </c>
      <c r="D1" s="19"/>
      <c r="E1" s="19" t="s">
        <v>134</v>
      </c>
      <c r="F1" s="19"/>
      <c r="G1" t="s">
        <v>141</v>
      </c>
      <c r="H1" t="s">
        <v>142</v>
      </c>
      <c r="J1" s="5" t="s">
        <v>131</v>
      </c>
    </row>
    <row r="2" spans="1:18">
      <c r="A2" s="4" t="s">
        <v>47</v>
      </c>
      <c r="B2" s="4" t="s">
        <v>120</v>
      </c>
      <c r="C2">
        <f>LEN(A2)</f>
        <v>4</v>
      </c>
      <c r="D2">
        <f>LEN(B2)</f>
        <v>8</v>
      </c>
      <c r="E2" t="str">
        <f>TRIM(A2)</f>
        <v>Amit</v>
      </c>
      <c r="F2" t="str">
        <f>TRIM(B2)</f>
        <v>Good job</v>
      </c>
      <c r="G2" t="str">
        <f>LEFT(E2,2)</f>
        <v>Am</v>
      </c>
      <c r="H2" t="str">
        <f>RIGHT(E2,2)</f>
        <v>it</v>
      </c>
      <c r="J2" s="14"/>
    </row>
    <row r="3" spans="1:18">
      <c r="A3" s="4" t="s">
        <v>52</v>
      </c>
      <c r="B3" s="4" t="s">
        <v>58</v>
      </c>
      <c r="C3">
        <f t="shared" ref="C3:C9" si="0">LEN(A3)</f>
        <v>4</v>
      </c>
      <c r="D3">
        <f t="shared" ref="D3:D9" si="1">LEN(B3)</f>
        <v>9</v>
      </c>
      <c r="E3" t="str">
        <f t="shared" ref="E3:E9" si="2">TRIM(A3)</f>
        <v>Neha</v>
      </c>
      <c r="F3" t="str">
        <f t="shared" ref="F3:F9" si="3">TRIM(B3)</f>
        <v>Excellent</v>
      </c>
      <c r="G3" t="str">
        <f t="shared" ref="G3:G9" si="4">LEFT(E3,2)</f>
        <v>Ne</v>
      </c>
      <c r="H3" t="str">
        <f t="shared" ref="H3:H9" si="5">RIGHT(E3,2)</f>
        <v>ha</v>
      </c>
      <c r="J3" s="14" t="s">
        <v>147</v>
      </c>
    </row>
    <row r="4" spans="1:18">
      <c r="A4" s="4" t="s">
        <v>137</v>
      </c>
      <c r="B4" s="4" t="s">
        <v>121</v>
      </c>
      <c r="C4">
        <f t="shared" si="0"/>
        <v>6</v>
      </c>
      <c r="D4">
        <f t="shared" si="1"/>
        <v>7</v>
      </c>
      <c r="E4" t="str">
        <f t="shared" si="2"/>
        <v>Riya</v>
      </c>
      <c r="F4" t="str">
        <f t="shared" si="3"/>
        <v>average</v>
      </c>
      <c r="G4" t="str">
        <f t="shared" si="4"/>
        <v>Ri</v>
      </c>
      <c r="H4" t="str">
        <f t="shared" si="5"/>
        <v>ya</v>
      </c>
      <c r="J4" s="18" t="str">
        <f>TRIM(B2)</f>
        <v>Good job</v>
      </c>
    </row>
    <row r="5" spans="1:18">
      <c r="A5" s="4" t="s">
        <v>136</v>
      </c>
      <c r="B5" s="4" t="s">
        <v>135</v>
      </c>
      <c r="C5">
        <f t="shared" si="0"/>
        <v>4</v>
      </c>
      <c r="D5">
        <f t="shared" si="1"/>
        <v>5</v>
      </c>
      <c r="E5" t="str">
        <f t="shared" si="2"/>
        <v>Raj</v>
      </c>
      <c r="F5" t="str">
        <f t="shared" si="3"/>
        <v>Good</v>
      </c>
      <c r="G5" t="str">
        <f t="shared" si="4"/>
        <v>Ra</v>
      </c>
      <c r="H5" t="str">
        <f t="shared" si="5"/>
        <v>aj</v>
      </c>
      <c r="J5" s="14" t="s">
        <v>132</v>
      </c>
      <c r="R5" s="20" t="s">
        <v>154</v>
      </c>
    </row>
    <row r="6" spans="1:18">
      <c r="A6" s="4" t="s">
        <v>62</v>
      </c>
      <c r="B6" s="4" t="s">
        <v>122</v>
      </c>
      <c r="C6">
        <f t="shared" si="0"/>
        <v>4</v>
      </c>
      <c r="D6">
        <f t="shared" si="1"/>
        <v>4</v>
      </c>
      <c r="E6" t="str">
        <f t="shared" si="2"/>
        <v>Amir</v>
      </c>
      <c r="F6" t="str">
        <f t="shared" si="3"/>
        <v>Poor</v>
      </c>
      <c r="G6" t="str">
        <f t="shared" si="4"/>
        <v>Am</v>
      </c>
      <c r="H6" t="str">
        <f t="shared" si="5"/>
        <v>ir</v>
      </c>
      <c r="J6" s="14"/>
      <c r="R6" s="14" t="s">
        <v>155</v>
      </c>
    </row>
    <row r="7" spans="1:18">
      <c r="A7" s="4" t="s">
        <v>64</v>
      </c>
      <c r="B7" s="4" t="s">
        <v>123</v>
      </c>
      <c r="C7">
        <f t="shared" si="0"/>
        <v>5</v>
      </c>
      <c r="D7">
        <f t="shared" si="1"/>
        <v>9</v>
      </c>
      <c r="E7" t="str">
        <f t="shared" si="2"/>
        <v>Nisha</v>
      </c>
      <c r="F7" t="str">
        <f t="shared" si="3"/>
        <v>excellent</v>
      </c>
      <c r="G7" t="str">
        <f t="shared" si="4"/>
        <v>Ni</v>
      </c>
      <c r="H7" t="str">
        <f t="shared" si="5"/>
        <v>ha</v>
      </c>
      <c r="J7" s="14" t="s">
        <v>146</v>
      </c>
      <c r="R7" s="18" t="s">
        <v>156</v>
      </c>
    </row>
    <row r="8" spans="1:18">
      <c r="A8" s="4" t="s">
        <v>66</v>
      </c>
      <c r="B8" s="4" t="s">
        <v>138</v>
      </c>
      <c r="C8">
        <f t="shared" si="0"/>
        <v>4</v>
      </c>
      <c r="D8">
        <f t="shared" si="1"/>
        <v>10</v>
      </c>
      <c r="E8" t="str">
        <f t="shared" si="2"/>
        <v>Ravi</v>
      </c>
      <c r="F8" t="str">
        <f t="shared" si="3"/>
        <v>Good work</v>
      </c>
      <c r="G8" t="str">
        <f t="shared" si="4"/>
        <v>Ra</v>
      </c>
      <c r="H8" t="str">
        <f t="shared" si="5"/>
        <v>vi</v>
      </c>
      <c r="J8" s="18">
        <f>LEN(B2)-LEN(TRIM(B2))</f>
        <v>0</v>
      </c>
      <c r="R8" s="14">
        <f>LEN(B2)</f>
        <v>8</v>
      </c>
    </row>
    <row r="9" spans="1:18">
      <c r="A9" s="4" t="s">
        <v>67</v>
      </c>
      <c r="B9" s="4" t="s">
        <v>65</v>
      </c>
      <c r="C9">
        <f t="shared" si="0"/>
        <v>4</v>
      </c>
      <c r="D9">
        <f t="shared" si="1"/>
        <v>7</v>
      </c>
      <c r="E9" t="str">
        <f t="shared" si="2"/>
        <v>Ritu</v>
      </c>
      <c r="F9" t="str">
        <f t="shared" si="3"/>
        <v>Average</v>
      </c>
      <c r="G9" t="str">
        <f t="shared" si="4"/>
        <v>Ri</v>
      </c>
      <c r="H9" t="str">
        <f t="shared" si="5"/>
        <v>tu</v>
      </c>
      <c r="J9" s="14" t="s">
        <v>133</v>
      </c>
      <c r="R9" s="20" t="s">
        <v>157</v>
      </c>
    </row>
    <row r="10" spans="1:18">
      <c r="R10" s="14" t="s">
        <v>158</v>
      </c>
    </row>
    <row r="11" spans="1:18" ht="18">
      <c r="J11" s="5" t="s">
        <v>139</v>
      </c>
      <c r="R11" s="18" t="s">
        <v>159</v>
      </c>
    </row>
    <row r="12" spans="1:18" ht="18">
      <c r="A12" s="5" t="s">
        <v>124</v>
      </c>
      <c r="J12" s="14"/>
      <c r="R12" s="14">
        <f>SEARCH(" ",B2)</f>
        <v>5</v>
      </c>
    </row>
    <row r="13" spans="1:18">
      <c r="A13" s="14"/>
      <c r="J13" s="14" t="s">
        <v>143</v>
      </c>
      <c r="R13" s="20" t="s">
        <v>160</v>
      </c>
    </row>
    <row r="14" spans="1:18">
      <c r="A14" s="14" t="s">
        <v>125</v>
      </c>
      <c r="J14" s="18" t="str">
        <f>LEFT(A2,2)</f>
        <v>Am</v>
      </c>
      <c r="R14" s="14" t="s">
        <v>161</v>
      </c>
    </row>
    <row r="15" spans="1:18">
      <c r="A15" s="18" t="s">
        <v>126</v>
      </c>
      <c r="J15" s="14"/>
      <c r="R15" s="14" t="s">
        <v>162</v>
      </c>
    </row>
    <row r="16" spans="1:18">
      <c r="A16" s="14" t="s">
        <v>127</v>
      </c>
      <c r="J16" s="14" t="s">
        <v>144</v>
      </c>
      <c r="R16" s="14">
        <f>LEN(B2)-SEARCH(" ",B2)</f>
        <v>3</v>
      </c>
    </row>
    <row r="17" spans="1:18">
      <c r="A17" s="14">
        <f>MAX(C2:C9)</f>
        <v>6</v>
      </c>
      <c r="J17" s="18" t="str">
        <f>RIGHT(A2,3)</f>
        <v>mit</v>
      </c>
      <c r="R17" s="20" t="s">
        <v>163</v>
      </c>
    </row>
    <row r="18" spans="1:18">
      <c r="A18" s="18" t="s">
        <v>128</v>
      </c>
      <c r="J18" s="14"/>
      <c r="R18" s="14" t="s">
        <v>164</v>
      </c>
    </row>
    <row r="19" spans="1:18">
      <c r="A19" s="14" t="s">
        <v>129</v>
      </c>
      <c r="J19" s="14" t="s">
        <v>145</v>
      </c>
      <c r="R19" s="14" t="s">
        <v>165</v>
      </c>
    </row>
    <row r="20" spans="1:18">
      <c r="A20">
        <f>MAX(D2:D9)</f>
        <v>10</v>
      </c>
      <c r="J20" s="18" t="str">
        <f>LEFT(F2,SEARCH(" ",F2)-1)</f>
        <v>Good</v>
      </c>
      <c r="R20" t="str">
        <f>RIGHT(F8,4)</f>
        <v>work</v>
      </c>
    </row>
    <row r="21" spans="1:18">
      <c r="J21" s="14" t="s">
        <v>140</v>
      </c>
    </row>
    <row r="22" spans="1:18">
      <c r="J22" t="s">
        <v>148</v>
      </c>
    </row>
    <row r="23" spans="1:18">
      <c r="J23" t="s">
        <v>149</v>
      </c>
    </row>
    <row r="24" spans="1:18" ht="18">
      <c r="A24" s="4"/>
      <c r="J24" s="5" t="s">
        <v>150</v>
      </c>
    </row>
    <row r="25" spans="1:18">
      <c r="A25" s="4"/>
      <c r="J25" s="14"/>
    </row>
    <row r="26" spans="1:18">
      <c r="J26" s="14" t="s">
        <v>151</v>
      </c>
    </row>
    <row r="27" spans="1:18">
      <c r="J27" t="s">
        <v>152</v>
      </c>
    </row>
    <row r="28" spans="1:18">
      <c r="J28" t="str">
        <f>IFERROR(LEFT(F2,SEARCH(" ",F2)-1), F2)</f>
        <v>Good</v>
      </c>
    </row>
    <row r="29" spans="1:18">
      <c r="J29" t="s">
        <v>153</v>
      </c>
    </row>
  </sheetData>
  <mergeCells count="2">
    <mergeCell ref="C1:D1"/>
    <mergeCell ref="E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F85C78-4980-4E68-850A-ACD8C26655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Using excel data cleaning</vt:lpstr>
      <vt:lpstr>Steps</vt:lpstr>
      <vt:lpstr>chatgpt-practice XLfunctions</vt:lpstr>
      <vt:lpstr>Average and ifs</vt:lpstr>
      <vt:lpstr>count, counta, countblank</vt:lpstr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jafer miya</dc:creator>
  <cp:lastModifiedBy>jafer miya</cp:lastModifiedBy>
  <dcterms:created xsi:type="dcterms:W3CDTF">2015-06-05T18:17:20Z</dcterms:created>
  <dcterms:modified xsi:type="dcterms:W3CDTF">2025-11-02T15:55:38Z</dcterms:modified>
</cp:coreProperties>
</file>