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nternshala practice\"/>
    </mc:Choice>
  </mc:AlternateContent>
  <xr:revisionPtr revIDLastSave="0" documentId="13_ncr:1_{07B5CA48-9EF6-4979-AEF4-FDE0C36E8D76}" xr6:coauthVersionLast="47" xr6:coauthVersionMax="47" xr10:uidLastSave="{00000000-0000-0000-0000-000000000000}"/>
  <bookViews>
    <workbookView xWindow="-108" yWindow="-108" windowWidth="23256" windowHeight="12456" tabRatio="922" activeTab="2" xr2:uid="{00000000-000D-0000-FFFF-FFFF00000000}"/>
  </bookViews>
  <sheets>
    <sheet name="xlookup,wildcards" sheetId="1" r:id="rId1"/>
    <sheet name="NA errors xlookup" sheetId="2" r:id="rId2"/>
    <sheet name="XLOOKUP across d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4" i="3"/>
  <c r="G21" i="1"/>
  <c r="A21" i="2"/>
  <c r="C4" i="2"/>
  <c r="C5" i="2"/>
  <c r="C6" i="2"/>
  <c r="C7" i="2"/>
  <c r="C8" i="2"/>
  <c r="C9" i="2"/>
  <c r="C10" i="2"/>
  <c r="C11" i="2"/>
  <c r="C12" i="2"/>
  <c r="C13" i="2"/>
  <c r="G5" i="2"/>
  <c r="G6" i="2"/>
  <c r="G7" i="2"/>
  <c r="G8" i="2"/>
  <c r="G9" i="2"/>
  <c r="G10" i="2"/>
  <c r="G11" i="2"/>
  <c r="G12" i="2"/>
  <c r="G13" i="2"/>
  <c r="G4" i="2"/>
  <c r="B24" i="1"/>
  <c r="B22" i="1"/>
  <c r="B20" i="1"/>
  <c r="B18" i="1"/>
  <c r="B16" i="1"/>
</calcChain>
</file>

<file path=xl/sharedStrings.xml><?xml version="1.0" encoding="utf-8"?>
<sst xmlns="http://schemas.openxmlformats.org/spreadsheetml/2006/main" count="132" uniqueCount="64">
  <si>
    <t>Student Name</t>
  </si>
  <si>
    <t>Subject</t>
  </si>
  <si>
    <t>Marks</t>
  </si>
  <si>
    <t>Grade</t>
  </si>
  <si>
    <t>Roll No</t>
  </si>
  <si>
    <t>Asma</t>
  </si>
  <si>
    <t>English</t>
  </si>
  <si>
    <t>A</t>
  </si>
  <si>
    <t>Shaik</t>
  </si>
  <si>
    <t>Maths</t>
  </si>
  <si>
    <t>B+</t>
  </si>
  <si>
    <t>Manha</t>
  </si>
  <si>
    <t>Science</t>
  </si>
  <si>
    <t>A+</t>
  </si>
  <si>
    <t>Taqi</t>
  </si>
  <si>
    <t>History</t>
  </si>
  <si>
    <t>B</t>
  </si>
  <si>
    <t>Danish</t>
  </si>
  <si>
    <t>Saniya</t>
  </si>
  <si>
    <t>Zoya</t>
  </si>
  <si>
    <t>Rehan</t>
  </si>
  <si>
    <t>C</t>
  </si>
  <si>
    <t>Ahmed</t>
  </si>
  <si>
    <t>Rida</t>
  </si>
  <si>
    <t>💡 Practice Questions:</t>
  </si>
  <si>
    <r>
      <t xml:space="preserve">1. Use </t>
    </r>
    <r>
      <rPr>
        <b/>
        <sz val="11"/>
        <color theme="1"/>
        <rFont val="Calibri"/>
        <family val="2"/>
        <scheme val="minor"/>
      </rPr>
      <t>XLOOKUP</t>
    </r>
    <r>
      <rPr>
        <sz val="11"/>
        <color theme="1"/>
        <rFont val="Calibri"/>
        <family val="2"/>
        <scheme val="minor"/>
      </rPr>
      <t xml:space="preserve"> to find the </t>
    </r>
    <r>
      <rPr>
        <b/>
        <sz val="11"/>
        <color theme="1"/>
        <rFont val="Calibri"/>
        <family val="2"/>
        <scheme val="minor"/>
      </rPr>
      <t>Marks</t>
    </r>
    <r>
      <rPr>
        <sz val="11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"Manha"</t>
    </r>
    <r>
      <rPr>
        <sz val="11"/>
        <color theme="1"/>
        <rFont val="Calibri"/>
        <family val="2"/>
        <scheme val="minor"/>
      </rPr>
      <t>.</t>
    </r>
  </si>
  <si>
    <r>
      <t xml:space="preserve">2. Find the </t>
    </r>
    <r>
      <rPr>
        <b/>
        <sz val="11"/>
        <color theme="1"/>
        <rFont val="Calibri"/>
        <family val="2"/>
        <scheme val="minor"/>
      </rPr>
      <t>Subject</t>
    </r>
    <r>
      <rPr>
        <sz val="11"/>
        <color theme="1"/>
        <rFont val="Calibri"/>
        <family val="2"/>
        <scheme val="minor"/>
      </rPr>
      <t xml:space="preserve"> of the student </t>
    </r>
    <r>
      <rPr>
        <sz val="10"/>
        <color theme="1"/>
        <rFont val="Arial Unicode MS"/>
      </rPr>
      <t>"Saniya"</t>
    </r>
    <r>
      <rPr>
        <sz val="11"/>
        <color theme="1"/>
        <rFont val="Calibri"/>
        <family val="2"/>
        <scheme val="minor"/>
      </rPr>
      <t>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</si>
  <si>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Grade</t>
    </r>
    <r>
      <rPr>
        <sz val="11"/>
        <color theme="1"/>
        <rFont val="Calibri"/>
        <family val="2"/>
        <scheme val="minor"/>
      </rPr>
      <t xml:space="preserve"> of the student with </t>
    </r>
    <r>
      <rPr>
        <b/>
        <sz val="11"/>
        <color theme="1"/>
        <rFont val="Calibri"/>
        <family val="2"/>
        <scheme val="minor"/>
      </rPr>
      <t>Roll No = 108</t>
    </r>
    <r>
      <rPr>
        <sz val="11"/>
        <color theme="1"/>
        <rFont val="Calibri"/>
        <family val="2"/>
        <scheme val="minor"/>
      </rPr>
      <t>.</t>
    </r>
  </si>
  <si>
    <r>
      <t xml:space="preserve">4. If </t>
    </r>
    <r>
      <rPr>
        <sz val="10"/>
        <color theme="1"/>
        <rFont val="Arial Unicode MS"/>
      </rPr>
      <t>"Asma"</t>
    </r>
    <r>
      <rPr>
        <sz val="11"/>
        <color theme="1"/>
        <rFont val="Calibri"/>
        <family val="2"/>
        <scheme val="minor"/>
      </rPr>
      <t xml:space="preserve">’s marks are missing, return </t>
    </r>
    <r>
      <rPr>
        <sz val="10"/>
        <color theme="1"/>
        <rFont val="Arial Unicode MS"/>
      </rPr>
      <t>"Not Found"</t>
    </r>
    <r>
      <rPr>
        <sz val="11"/>
        <color theme="1"/>
        <rFont val="Calibri"/>
        <family val="2"/>
        <scheme val="minor"/>
      </rPr>
      <t>.</t>
    </r>
  </si>
  <si>
    <r>
      <t xml:space="preserve">5. Use </t>
    </r>
    <r>
      <rPr>
        <b/>
        <sz val="11"/>
        <color theme="1"/>
        <rFont val="Calibri"/>
        <family val="2"/>
        <scheme val="minor"/>
      </rPr>
      <t>XLOOKUP with wildcard</t>
    </r>
    <r>
      <rPr>
        <sz val="11"/>
        <color theme="1"/>
        <rFont val="Calibri"/>
        <family val="2"/>
        <scheme val="minor"/>
      </rPr>
      <t xml:space="preserve"> to search for </t>
    </r>
    <r>
      <rPr>
        <sz val="10"/>
        <color theme="1"/>
        <rFont val="Arial Unicode MS"/>
      </rPr>
      <t>"R*"</t>
    </r>
    <r>
      <rPr>
        <sz val="11"/>
        <color theme="1"/>
        <rFont val="Calibri"/>
        <family val="2"/>
        <scheme val="minor"/>
      </rPr>
      <t xml:space="preserve"> (to find Rida).</t>
    </r>
  </si>
  <si>
    <t>Wild cards</t>
  </si>
  <si>
    <r>
      <t xml:space="preserve">Sometimes, you don’t know the </t>
    </r>
    <r>
      <rPr>
        <i/>
        <sz val="11"/>
        <color theme="1"/>
        <rFont val="Calibri"/>
        <family val="2"/>
        <scheme val="minor"/>
      </rPr>
      <t>full</t>
    </r>
    <r>
      <rPr>
        <sz val="11"/>
        <color theme="1"/>
        <rFont val="Calibri"/>
        <family val="2"/>
        <scheme val="minor"/>
      </rPr>
      <t xml:space="preserve"> name — maybe only part of it (like “R”).</t>
    </r>
  </si>
  <si>
    <r>
      <t xml:space="preserve">That’s when </t>
    </r>
    <r>
      <rPr>
        <b/>
        <sz val="11"/>
        <color theme="1"/>
        <rFont val="Calibri"/>
        <family val="2"/>
        <scheme val="minor"/>
      </rPr>
      <t>wildcards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*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?</t>
    </r>
    <r>
      <rPr>
        <sz val="11"/>
        <color theme="1"/>
        <rFont val="Calibri"/>
        <family val="2"/>
        <scheme val="minor"/>
      </rPr>
      <t>) help.</t>
    </r>
  </si>
  <si>
    <t>Wildcard</t>
  </si>
  <si>
    <t>Meaning</t>
  </si>
  <si>
    <t>*</t>
  </si>
  <si>
    <t>any number of characters</t>
  </si>
  <si>
    <t>?</t>
  </si>
  <si>
    <t>one single character</t>
  </si>
  <si>
    <r>
      <t>"R*"</t>
    </r>
    <r>
      <rPr>
        <sz val="11"/>
        <color theme="1"/>
        <rFont val="Calibri"/>
        <family val="2"/>
        <scheme val="minor"/>
      </rPr>
      <t xml:space="preserve"> → means any name starting with R</t>
    </r>
  </si>
  <si>
    <r>
      <t>A2:A11</t>
    </r>
    <r>
      <rPr>
        <sz val="11"/>
        <color theme="1"/>
        <rFont val="Calibri"/>
        <family val="2"/>
        <scheme val="minor"/>
      </rPr>
      <t xml:space="preserve"> → Student Name column (lookup array)</t>
    </r>
  </si>
  <si>
    <r>
      <t>C2:C11</t>
    </r>
    <r>
      <rPr>
        <sz val="11"/>
        <color theme="1"/>
        <rFont val="Calibri"/>
        <family val="2"/>
        <scheme val="minor"/>
      </rPr>
      <t xml:space="preserve"> → Marks column (return array)</t>
    </r>
  </si>
  <si>
    <r>
      <t>"Not Found"</t>
    </r>
    <r>
      <rPr>
        <sz val="11"/>
        <color theme="1"/>
        <rFont val="Calibri"/>
        <family val="2"/>
        <scheme val="minor"/>
      </rPr>
      <t xml:space="preserve"> → shown if no match found</t>
    </r>
  </si>
  <si>
    <r>
      <t>0</t>
    </r>
    <r>
      <rPr>
        <sz val="11"/>
        <color theme="1"/>
        <rFont val="Calibri"/>
        <family val="2"/>
        <scheme val="minor"/>
      </rPr>
      <t xml:space="preserve"> → exact match</t>
    </r>
  </si>
  <si>
    <r>
      <t>2</t>
    </r>
    <r>
      <rPr>
        <sz val="11"/>
        <color theme="1"/>
        <rFont val="Calibri"/>
        <family val="2"/>
        <scheme val="minor"/>
      </rPr>
      <t xml:space="preserve"> → allows </t>
    </r>
    <r>
      <rPr>
        <b/>
        <sz val="11"/>
        <color theme="1"/>
        <rFont val="Calibri"/>
        <family val="2"/>
        <scheme val="minor"/>
      </rPr>
      <t>wildcard search</t>
    </r>
  </si>
  <si>
    <t>🧾 Table 1 — Roll Numbers</t>
  </si>
  <si>
    <t>🧾 Table 2 — Student Grades</t>
  </si>
  <si>
    <r>
      <t xml:space="preserve">Now the </t>
    </r>
    <r>
      <rPr>
        <b/>
        <sz val="11"/>
        <color theme="1"/>
        <rFont val="Calibri"/>
        <family val="2"/>
        <scheme val="minor"/>
      </rPr>
      <t>Roll No and Grade</t>
    </r>
    <r>
      <rPr>
        <sz val="11"/>
        <color theme="1"/>
        <rFont val="Calibri"/>
        <family val="2"/>
        <scheme val="minor"/>
      </rPr>
      <t xml:space="preserve"> are in </t>
    </r>
    <r>
      <rPr>
        <i/>
        <sz val="11"/>
        <color theme="1"/>
        <rFont val="Calibri"/>
        <family val="2"/>
        <scheme val="minor"/>
      </rPr>
      <t>different tables</t>
    </r>
    <r>
      <rPr>
        <sz val="11"/>
        <color theme="1"/>
        <rFont val="Calibri"/>
        <family val="2"/>
        <scheme val="minor"/>
      </rPr>
      <t>,</t>
    </r>
  </si>
  <si>
    <t>so you can’t get the Grade directly from Roll No.</t>
  </si>
  <si>
    <r>
      <t xml:space="preserve">Sometimes, your lookup value isn’t found in the table — Excel shows </t>
    </r>
    <r>
      <rPr>
        <sz val="10"/>
        <color theme="1"/>
        <rFont val="Arial Unicode MS"/>
      </rPr>
      <t>#N/A</t>
    </r>
    <r>
      <rPr>
        <sz val="11"/>
        <color theme="1"/>
        <rFont val="Calibri"/>
        <family val="2"/>
        <scheme val="minor"/>
      </rPr>
      <t>.</t>
    </r>
  </si>
  <si>
    <r>
      <t xml:space="preserve">To handle that, XLOOKUP has a </t>
    </r>
    <r>
      <rPr>
        <b/>
        <sz val="11"/>
        <color theme="1"/>
        <rFont val="Calibri"/>
        <family val="2"/>
        <scheme val="minor"/>
      </rPr>
      <t>“if not found”</t>
    </r>
    <r>
      <rPr>
        <sz val="11"/>
        <color theme="1"/>
        <rFont val="Calibri"/>
        <family val="2"/>
        <scheme val="minor"/>
      </rPr>
      <t xml:space="preserve"> argument.</t>
    </r>
  </si>
  <si>
    <t>✅ Example:</t>
  </si>
  <si>
    <t>XLOOKUP("Tara", A2:A11, C2:C11, "Not Found")</t>
  </si>
  <si>
    <t>Q4. How to perform a wildcard lookup (like names starting with A)?</t>
  </si>
  <si>
    <t>💬 Q5. How to use XLOOKUP across different sheets?</t>
  </si>
  <si>
    <t>Suppose:</t>
  </si>
  <si>
    <r>
      <t xml:space="preserve">Your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is in </t>
    </r>
    <r>
      <rPr>
        <i/>
        <sz val="11"/>
        <color theme="1"/>
        <rFont val="Calibri"/>
        <family val="2"/>
        <scheme val="minor"/>
      </rPr>
      <t>Sheet1</t>
    </r>
    <r>
      <rPr>
        <sz val="11"/>
        <color theme="1"/>
        <rFont val="Calibri"/>
        <family val="2"/>
        <scheme val="minor"/>
      </rPr>
      <t xml:space="preserve"> (columns A to C)</t>
    </r>
  </si>
  <si>
    <t>Explanation:</t>
  </si>
  <si>
    <r>
      <t>A2</t>
    </r>
    <r>
      <rPr>
        <sz val="11"/>
        <color theme="1"/>
        <rFont val="Calibri"/>
        <family val="2"/>
        <scheme val="minor"/>
      </rPr>
      <t xml:space="preserve"> → lookup value (student name)</t>
    </r>
  </si>
  <si>
    <r>
      <t>Sheet1!A2:A11</t>
    </r>
    <r>
      <rPr>
        <sz val="11"/>
        <color theme="1"/>
        <rFont val="Calibri"/>
        <family val="2"/>
        <scheme val="minor"/>
      </rPr>
      <t xml:space="preserve"> → lookup array from Sheet1</t>
    </r>
  </si>
  <si>
    <r>
      <t>Sheet1!C2:C11</t>
    </r>
    <r>
      <rPr>
        <sz val="11"/>
        <color theme="1"/>
        <rFont val="Calibri"/>
        <family val="2"/>
        <scheme val="minor"/>
      </rPr>
      <t xml:space="preserve"> → return array from Sheet1</t>
    </r>
  </si>
  <si>
    <r>
      <t>"Not Found"</t>
    </r>
    <r>
      <rPr>
        <sz val="11"/>
        <color theme="1"/>
        <rFont val="Calibri"/>
        <family val="2"/>
        <scheme val="minor"/>
      </rPr>
      <t xml:space="preserve"> → message if no match</t>
    </r>
  </si>
  <si>
    <t>Roll number</t>
  </si>
  <si>
    <r>
      <t xml:space="preserve">You want to find roll number from </t>
    </r>
    <r>
      <rPr>
        <i/>
        <sz val="11"/>
        <color theme="1"/>
        <rFont val="Calibri"/>
        <family val="2"/>
        <scheme val="minor"/>
      </rPr>
      <t>Sheet2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</si>
</sst>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pane ySplit="1" topLeftCell="A2" activePane="bottomLeft" state="frozen"/>
      <selection pane="bottomLeft" activeCell="G1" sqref="G1"/>
    </sheetView>
  </sheetViews>
  <sheetFormatPr defaultRowHeight="14.4"/>
  <cols>
    <col min="1" max="1" width="62.6640625" customWidth="1"/>
    <col min="8" max="8" width="26.77734375" customWidth="1"/>
  </cols>
  <sheetData>
    <row r="1" spans="1:8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G1" s="21" t="s">
        <v>53</v>
      </c>
    </row>
    <row r="2" spans="1:8">
      <c r="A2" s="4" t="s">
        <v>5</v>
      </c>
      <c r="B2" s="5" t="s">
        <v>6</v>
      </c>
      <c r="C2" s="5">
        <v>87</v>
      </c>
      <c r="D2" s="5" t="s">
        <v>7</v>
      </c>
      <c r="E2" s="6">
        <v>101</v>
      </c>
      <c r="G2" t="s">
        <v>30</v>
      </c>
    </row>
    <row r="3" spans="1:8">
      <c r="A3" s="4" t="s">
        <v>8</v>
      </c>
      <c r="B3" s="5" t="s">
        <v>9</v>
      </c>
      <c r="C3" s="5">
        <v>75</v>
      </c>
      <c r="D3" s="5" t="s">
        <v>10</v>
      </c>
      <c r="E3" s="6">
        <v>102</v>
      </c>
      <c r="G3" t="s">
        <v>31</v>
      </c>
    </row>
    <row r="4" spans="1:8">
      <c r="A4" s="4" t="s">
        <v>11</v>
      </c>
      <c r="B4" s="5" t="s">
        <v>12</v>
      </c>
      <c r="C4" s="5">
        <v>92</v>
      </c>
      <c r="D4" s="5" t="s">
        <v>13</v>
      </c>
      <c r="E4" s="6">
        <v>103</v>
      </c>
      <c r="G4" t="s">
        <v>32</v>
      </c>
    </row>
    <row r="5" spans="1:8">
      <c r="A5" s="4" t="s">
        <v>14</v>
      </c>
      <c r="B5" s="5" t="s">
        <v>15</v>
      </c>
      <c r="C5" s="5">
        <v>68</v>
      </c>
      <c r="D5" s="5" t="s">
        <v>16</v>
      </c>
      <c r="E5" s="6">
        <v>104</v>
      </c>
    </row>
    <row r="6" spans="1:8">
      <c r="A6" s="4" t="s">
        <v>17</v>
      </c>
      <c r="B6" s="5" t="s">
        <v>6</v>
      </c>
      <c r="C6" s="5">
        <v>80</v>
      </c>
      <c r="D6" s="5" t="s">
        <v>7</v>
      </c>
      <c r="E6" s="6">
        <v>105</v>
      </c>
      <c r="G6" s="16" t="s">
        <v>33</v>
      </c>
      <c r="H6" s="16" t="s">
        <v>34</v>
      </c>
    </row>
    <row r="7" spans="1:8">
      <c r="A7" s="4" t="s">
        <v>18</v>
      </c>
      <c r="B7" s="5" t="s">
        <v>9</v>
      </c>
      <c r="C7" s="5">
        <v>95</v>
      </c>
      <c r="D7" s="5" t="s">
        <v>13</v>
      </c>
      <c r="E7" s="6">
        <v>106</v>
      </c>
      <c r="G7" s="14" t="s">
        <v>35</v>
      </c>
      <c r="H7" s="15" t="s">
        <v>36</v>
      </c>
    </row>
    <row r="8" spans="1:8">
      <c r="A8" s="4" t="s">
        <v>19</v>
      </c>
      <c r="B8" s="5" t="s">
        <v>12</v>
      </c>
      <c r="C8" s="5">
        <v>70</v>
      </c>
      <c r="D8" s="5" t="s">
        <v>16</v>
      </c>
      <c r="E8" s="6">
        <v>107</v>
      </c>
      <c r="G8" s="14" t="s">
        <v>37</v>
      </c>
      <c r="H8" s="15" t="s">
        <v>38</v>
      </c>
    </row>
    <row r="9" spans="1:8">
      <c r="A9" s="4" t="s">
        <v>20</v>
      </c>
      <c r="B9" s="5" t="s">
        <v>6</v>
      </c>
      <c r="C9" s="5">
        <v>60</v>
      </c>
      <c r="D9" s="5" t="s">
        <v>21</v>
      </c>
      <c r="E9" s="6">
        <v>108</v>
      </c>
      <c r="G9" s="17" t="s">
        <v>39</v>
      </c>
    </row>
    <row r="10" spans="1:8">
      <c r="A10" s="4" t="s">
        <v>22</v>
      </c>
      <c r="B10" s="5" t="s">
        <v>15</v>
      </c>
      <c r="C10" s="5">
        <v>85</v>
      </c>
      <c r="D10" s="5" t="s">
        <v>7</v>
      </c>
      <c r="E10" s="6">
        <v>109</v>
      </c>
    </row>
    <row r="11" spans="1:8">
      <c r="A11" s="7" t="s">
        <v>23</v>
      </c>
      <c r="B11" s="8" t="s">
        <v>12</v>
      </c>
      <c r="C11" s="8">
        <v>78</v>
      </c>
      <c r="D11" s="8" t="s">
        <v>10</v>
      </c>
      <c r="E11" s="9">
        <v>110</v>
      </c>
      <c r="G11" s="17" t="s">
        <v>40</v>
      </c>
    </row>
    <row r="13" spans="1:8">
      <c r="G13" s="17" t="s">
        <v>41</v>
      </c>
    </row>
    <row r="14" spans="1:8" ht="18">
      <c r="A14" s="2" t="s">
        <v>24</v>
      </c>
    </row>
    <row r="15" spans="1:8">
      <c r="A15" s="3"/>
      <c r="G15" s="17" t="s">
        <v>42</v>
      </c>
    </row>
    <row r="16" spans="1:8">
      <c r="A16" s="3" t="s">
        <v>25</v>
      </c>
      <c r="B16">
        <f>_xlfn.XLOOKUP(A4,A1:A11,C1:C11,"not found",0)</f>
        <v>92</v>
      </c>
    </row>
    <row r="17" spans="1:7">
      <c r="A17" s="3"/>
      <c r="G17" s="17" t="s">
        <v>43</v>
      </c>
    </row>
    <row r="18" spans="1:7">
      <c r="A18" s="3" t="s">
        <v>26</v>
      </c>
      <c r="B18" t="str">
        <f>_xlfn.XLOOKUP(A7,A2:A11,B2:B11,"not found",0)</f>
        <v>Maths</v>
      </c>
    </row>
    <row r="19" spans="1:7">
      <c r="A19" s="3"/>
      <c r="G19" s="17" t="s">
        <v>44</v>
      </c>
    </row>
    <row r="20" spans="1:7">
      <c r="A20" s="3" t="s">
        <v>27</v>
      </c>
      <c r="B20" t="str">
        <f>_xlfn.XLOOKUP(E9,E2:E11,D2:D11,"",0)</f>
        <v>C</v>
      </c>
    </row>
    <row r="21" spans="1:7">
      <c r="A21" s="3"/>
      <c r="G21" t="str">
        <f>_xlfn.XLOOKUP("A*",A2:A11,C2:C11,"Not found")</f>
        <v>Not found</v>
      </c>
    </row>
    <row r="22" spans="1:7">
      <c r="A22" s="3" t="s">
        <v>28</v>
      </c>
      <c r="B22">
        <f>_xlfn.XLOOKUP(A2,A2:A11,C2:C11,"not found",0)</f>
        <v>87</v>
      </c>
    </row>
    <row r="23" spans="1:7">
      <c r="A23" s="3"/>
    </row>
    <row r="24" spans="1:7">
      <c r="A24" s="3" t="s">
        <v>29</v>
      </c>
      <c r="B24" t="str">
        <f>_xlfn.XLOOKUP("R*",A2:A11,C2:C11,"Not found",0)</f>
        <v>Not found</v>
      </c>
    </row>
    <row r="25" spans="1:7">
      <c r="A25" s="3"/>
    </row>
    <row r="26" spans="1:7">
      <c r="A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55E3-603F-4379-BC0A-768E89B9DB76}">
  <dimension ref="A1:G38"/>
  <sheetViews>
    <sheetView workbookViewId="0">
      <selection activeCell="E3" sqref="E3:F13"/>
    </sheetView>
  </sheetViews>
  <sheetFormatPr defaultRowHeight="14.4"/>
  <cols>
    <col min="1" max="1" width="11.109375" customWidth="1"/>
    <col min="2" max="2" width="11.5546875" customWidth="1"/>
  </cols>
  <sheetData>
    <row r="1" spans="1:7" ht="18">
      <c r="A1" s="2" t="s">
        <v>45</v>
      </c>
      <c r="E1" s="2" t="s">
        <v>46</v>
      </c>
    </row>
    <row r="3" spans="1:7" ht="28.8">
      <c r="A3" s="13" t="s">
        <v>4</v>
      </c>
      <c r="B3" s="13" t="s">
        <v>0</v>
      </c>
      <c r="E3" s="13" t="s">
        <v>0</v>
      </c>
      <c r="F3" s="13" t="s">
        <v>3</v>
      </c>
    </row>
    <row r="4" spans="1:7">
      <c r="A4" s="18">
        <v>101</v>
      </c>
      <c r="B4" s="18" t="s">
        <v>5</v>
      </c>
      <c r="C4" t="str">
        <f>_xlfn.XLOOKUP(B4,E4:E13,F4:F13)</f>
        <v>A</v>
      </c>
      <c r="E4" s="18" t="s">
        <v>5</v>
      </c>
      <c r="F4" s="18" t="s">
        <v>7</v>
      </c>
      <c r="G4">
        <f>_xlfn.XLOOKUP(E4,B4:B13,A4:A13,"not found",0)</f>
        <v>101</v>
      </c>
    </row>
    <row r="5" spans="1:7">
      <c r="A5" s="18">
        <v>102</v>
      </c>
      <c r="B5" s="18" t="s">
        <v>8</v>
      </c>
      <c r="C5" t="str">
        <f t="shared" ref="C5:C13" si="0">_xlfn.XLOOKUP(B5,E5:E14,F5:F14)</f>
        <v>B+</v>
      </c>
      <c r="E5" s="18" t="s">
        <v>8</v>
      </c>
      <c r="F5" s="18" t="s">
        <v>10</v>
      </c>
      <c r="G5">
        <f t="shared" ref="G5:G13" si="1">_xlfn.XLOOKUP(E5,B5:B14,A5:A14,"not found",0)</f>
        <v>102</v>
      </c>
    </row>
    <row r="6" spans="1:7">
      <c r="A6" s="18">
        <v>103</v>
      </c>
      <c r="B6" s="18" t="s">
        <v>11</v>
      </c>
      <c r="C6" t="str">
        <f t="shared" si="0"/>
        <v>A+</v>
      </c>
      <c r="E6" s="18" t="s">
        <v>11</v>
      </c>
      <c r="F6" s="18" t="s">
        <v>13</v>
      </c>
      <c r="G6">
        <f t="shared" si="1"/>
        <v>103</v>
      </c>
    </row>
    <row r="7" spans="1:7">
      <c r="A7" s="18">
        <v>104</v>
      </c>
      <c r="B7" s="18" t="s">
        <v>14</v>
      </c>
      <c r="C7" t="str">
        <f t="shared" si="0"/>
        <v>B</v>
      </c>
      <c r="E7" s="18" t="s">
        <v>14</v>
      </c>
      <c r="F7" s="18" t="s">
        <v>16</v>
      </c>
      <c r="G7">
        <f t="shared" si="1"/>
        <v>104</v>
      </c>
    </row>
    <row r="8" spans="1:7">
      <c r="A8" s="18">
        <v>105</v>
      </c>
      <c r="B8" s="18" t="s">
        <v>17</v>
      </c>
      <c r="C8" t="str">
        <f t="shared" si="0"/>
        <v>A</v>
      </c>
      <c r="E8" s="18" t="s">
        <v>17</v>
      </c>
      <c r="F8" s="18" t="s">
        <v>7</v>
      </c>
      <c r="G8">
        <f t="shared" si="1"/>
        <v>105</v>
      </c>
    </row>
    <row r="9" spans="1:7">
      <c r="A9" s="18">
        <v>106</v>
      </c>
      <c r="B9" s="18" t="s">
        <v>18</v>
      </c>
      <c r="C9" t="str">
        <f t="shared" si="0"/>
        <v>A+</v>
      </c>
      <c r="E9" s="18" t="s">
        <v>18</v>
      </c>
      <c r="F9" s="18" t="s">
        <v>13</v>
      </c>
      <c r="G9">
        <f t="shared" si="1"/>
        <v>106</v>
      </c>
    </row>
    <row r="10" spans="1:7">
      <c r="A10" s="18">
        <v>107</v>
      </c>
      <c r="B10" s="18" t="s">
        <v>19</v>
      </c>
      <c r="C10" t="str">
        <f t="shared" si="0"/>
        <v>B</v>
      </c>
      <c r="E10" s="18" t="s">
        <v>19</v>
      </c>
      <c r="F10" s="18" t="s">
        <v>16</v>
      </c>
      <c r="G10">
        <f t="shared" si="1"/>
        <v>107</v>
      </c>
    </row>
    <row r="11" spans="1:7">
      <c r="A11" s="18">
        <v>108</v>
      </c>
      <c r="B11" s="18" t="s">
        <v>20</v>
      </c>
      <c r="C11" t="str">
        <f t="shared" si="0"/>
        <v>C</v>
      </c>
      <c r="E11" s="18" t="s">
        <v>20</v>
      </c>
      <c r="F11" s="18" t="s">
        <v>21</v>
      </c>
      <c r="G11">
        <f t="shared" si="1"/>
        <v>108</v>
      </c>
    </row>
    <row r="12" spans="1:7">
      <c r="A12" s="18">
        <v>109</v>
      </c>
      <c r="B12" s="18" t="s">
        <v>22</v>
      </c>
      <c r="C12" t="str">
        <f t="shared" si="0"/>
        <v>A</v>
      </c>
      <c r="E12" s="18" t="s">
        <v>22</v>
      </c>
      <c r="F12" s="18" t="s">
        <v>7</v>
      </c>
      <c r="G12">
        <f t="shared" si="1"/>
        <v>109</v>
      </c>
    </row>
    <row r="13" spans="1:7">
      <c r="A13" s="18">
        <v>110</v>
      </c>
      <c r="B13" s="18" t="s">
        <v>23</v>
      </c>
      <c r="C13" t="str">
        <f t="shared" si="0"/>
        <v>B+</v>
      </c>
      <c r="E13" s="18" t="s">
        <v>23</v>
      </c>
      <c r="F13" s="18" t="s">
        <v>10</v>
      </c>
      <c r="G13">
        <f t="shared" si="1"/>
        <v>110</v>
      </c>
    </row>
    <row r="16" spans="1:7">
      <c r="A16" t="s">
        <v>49</v>
      </c>
    </row>
    <row r="17" spans="1:1">
      <c r="A17" t="s">
        <v>50</v>
      </c>
    </row>
    <row r="19" spans="1:1" ht="15.6">
      <c r="A19" s="19" t="s">
        <v>51</v>
      </c>
    </row>
    <row r="20" spans="1:1">
      <c r="A20" s="1" t="s">
        <v>52</v>
      </c>
    </row>
    <row r="21" spans="1:1">
      <c r="A21" s="20" t="str">
        <f>_xlfn.XLOOKUP("Tara", A2:A11, C2:C11, "Not Found")</f>
        <v>Not Found</v>
      </c>
    </row>
    <row r="37" spans="1:1">
      <c r="A37" t="s">
        <v>47</v>
      </c>
    </row>
    <row r="38" spans="1:1">
      <c r="A38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0234-CCC8-4CE0-B22B-639E8DBB7B59}">
  <dimension ref="A1:H23"/>
  <sheetViews>
    <sheetView tabSelected="1" workbookViewId="0">
      <selection activeCell="D18" sqref="D18"/>
    </sheetView>
  </sheetViews>
  <sheetFormatPr defaultRowHeight="14.4"/>
  <cols>
    <col min="4" max="4" width="22.109375" customWidth="1"/>
  </cols>
  <sheetData>
    <row r="1" spans="1:8" ht="18">
      <c r="A1" s="2" t="s">
        <v>54</v>
      </c>
    </row>
    <row r="3" spans="1:8" ht="28.8">
      <c r="A3" t="s">
        <v>55</v>
      </c>
      <c r="E3" t="s">
        <v>62</v>
      </c>
      <c r="F3" s="13" t="s">
        <v>0</v>
      </c>
      <c r="G3" s="13" t="s">
        <v>3</v>
      </c>
      <c r="H3" t="s">
        <v>62</v>
      </c>
    </row>
    <row r="4" spans="1:8">
      <c r="A4" s="3"/>
      <c r="E4">
        <f>_xlfn.XLOOKUP(F4,'NA errors xlookup'!B4:B13,'NA errors xlookup'!A4:A13,"not found",0)</f>
        <v>101</v>
      </c>
      <c r="F4" s="18" t="s">
        <v>5</v>
      </c>
      <c r="G4" s="18" t="s">
        <v>7</v>
      </c>
    </row>
    <row r="5" spans="1:8">
      <c r="A5" s="3" t="s">
        <v>56</v>
      </c>
      <c r="E5">
        <f>_xlfn.XLOOKUP(F5,'NA errors xlookup'!B5:B14,'NA errors xlookup'!A5:A14,"not found",0)</f>
        <v>102</v>
      </c>
      <c r="F5" s="18" t="s">
        <v>8</v>
      </c>
      <c r="G5" s="18" t="s">
        <v>10</v>
      </c>
    </row>
    <row r="6" spans="1:8">
      <c r="A6" s="3"/>
      <c r="E6">
        <f>_xlfn.XLOOKUP(F6,'NA errors xlookup'!B6:B15,'NA errors xlookup'!A6:A15,"not found",0)</f>
        <v>103</v>
      </c>
      <c r="F6" s="18" t="s">
        <v>11</v>
      </c>
      <c r="G6" s="18" t="s">
        <v>13</v>
      </c>
    </row>
    <row r="7" spans="1:8">
      <c r="A7" s="3" t="s">
        <v>63</v>
      </c>
      <c r="E7">
        <f>_xlfn.XLOOKUP(F7,'NA errors xlookup'!B7:B16,'NA errors xlookup'!A7:A16,"not found",0)</f>
        <v>104</v>
      </c>
      <c r="F7" s="18" t="s">
        <v>14</v>
      </c>
      <c r="G7" s="18" t="s">
        <v>16</v>
      </c>
    </row>
    <row r="8" spans="1:8">
      <c r="E8">
        <f>_xlfn.XLOOKUP(F8,'NA errors xlookup'!B8:B17,'NA errors xlookup'!A8:A17,"not found",0)</f>
        <v>105</v>
      </c>
      <c r="F8" s="18" t="s">
        <v>17</v>
      </c>
      <c r="G8" s="18" t="s">
        <v>7</v>
      </c>
    </row>
    <row r="9" spans="1:8" ht="15.6">
      <c r="A9" s="19"/>
      <c r="E9">
        <f>_xlfn.XLOOKUP(F9,'NA errors xlookup'!B9:B18,'NA errors xlookup'!A9:A18,"not found",0)</f>
        <v>106</v>
      </c>
      <c r="F9" s="18" t="s">
        <v>18</v>
      </c>
      <c r="G9" s="18" t="s">
        <v>13</v>
      </c>
    </row>
    <row r="10" spans="1:8">
      <c r="E10">
        <f>_xlfn.XLOOKUP(F10,'NA errors xlookup'!B10:B19,'NA errors xlookup'!A10:A19,"not found",0)</f>
        <v>107</v>
      </c>
      <c r="F10" s="18" t="s">
        <v>19</v>
      </c>
      <c r="G10" s="18" t="s">
        <v>16</v>
      </c>
    </row>
    <row r="11" spans="1:8">
      <c r="E11">
        <f>_xlfn.XLOOKUP(F11,'NA errors xlookup'!B11:B20,'NA errors xlookup'!A11:A20,"not found",0)</f>
        <v>108</v>
      </c>
      <c r="F11" s="18" t="s">
        <v>20</v>
      </c>
      <c r="G11" s="18" t="s">
        <v>21</v>
      </c>
    </row>
    <row r="12" spans="1:8">
      <c r="A12" s="1"/>
      <c r="E12">
        <f>_xlfn.XLOOKUP(F12,'NA errors xlookup'!B12:B21,'NA errors xlookup'!A12:A21,"not found",0)</f>
        <v>109</v>
      </c>
      <c r="F12" s="18" t="s">
        <v>22</v>
      </c>
      <c r="G12" s="18" t="s">
        <v>7</v>
      </c>
    </row>
    <row r="13" spans="1:8">
      <c r="A13" s="20"/>
      <c r="E13">
        <f>_xlfn.XLOOKUP(F13,'NA errors xlookup'!B13:B22,'NA errors xlookup'!A13:A22,"not found",0)</f>
        <v>110</v>
      </c>
      <c r="F13" s="18" t="s">
        <v>23</v>
      </c>
      <c r="G13" s="18" t="s">
        <v>10</v>
      </c>
    </row>
    <row r="15" spans="1:8">
      <c r="A15" s="21" t="s">
        <v>57</v>
      </c>
    </row>
    <row r="16" spans="1:8">
      <c r="A16" s="3"/>
    </row>
    <row r="17" spans="1:1">
      <c r="A17" s="22" t="s">
        <v>58</v>
      </c>
    </row>
    <row r="18" spans="1:1">
      <c r="A18" s="3"/>
    </row>
    <row r="19" spans="1:1">
      <c r="A19" s="22" t="s">
        <v>59</v>
      </c>
    </row>
    <row r="20" spans="1:1">
      <c r="A20" s="3"/>
    </row>
    <row r="21" spans="1:1">
      <c r="A21" s="22" t="s">
        <v>60</v>
      </c>
    </row>
    <row r="22" spans="1:1">
      <c r="A22" s="3"/>
    </row>
    <row r="23" spans="1:1">
      <c r="A23" s="2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408B-EF98-4F83-B1D1-1B6A7A4F1ACC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xlookup,wildcards</vt:lpstr>
      <vt:lpstr>NA errors xlookup</vt:lpstr>
      <vt:lpstr>XLOOKUP across 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jafer miya</dc:creator>
  <cp:lastModifiedBy>jafer miya</cp:lastModifiedBy>
  <dcterms:created xsi:type="dcterms:W3CDTF">2015-06-05T18:17:20Z</dcterms:created>
  <dcterms:modified xsi:type="dcterms:W3CDTF">2025-11-03T14:04:49Z</dcterms:modified>
</cp:coreProperties>
</file>